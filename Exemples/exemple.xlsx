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Instructions" sheetId="1" r:id="rId1"/>
    <sheet name="Actors" sheetId="2" r:id="rId2"/>
    <sheet name="Groups" sheetId="3" r:id="rId3"/>
    <sheet name="Milestones" sheetId="4" r:id="rId4"/>
    <sheet name="ActorTypes" sheetId="5" r:id="rId5"/>
    <sheet name="FlowTypes" sheetId="6" r:id="rId6"/>
    <sheet name="Interfaces" sheetId="7" r:id="rId7"/>
    <sheet name="FX_Takodana_HTTP" sheetId="8" r:id="rId8"/>
    <sheet name="FX_Sullust_HTTP" sheetId="9" r:id="rId9"/>
    <sheet name="FX_Chandrila_HTTP" sheetId="10" r:id="rId10"/>
    <sheet name="FX_Chandrila_Kafka" sheetId="11" r:id="rId11"/>
    <sheet name="FX_Malastare_File" sheetId="12" r:id="rId12"/>
    <sheet name="FX_Ilum_File" sheetId="13" r:id="rId13"/>
    <sheet name="FX_Malastare_Kafka" sheetId="14" r:id="rId14"/>
    <sheet name="FX_Onderon_SFTP" sheetId="15" r:id="rId15"/>
    <sheet name="FX_Chandrila_File" sheetId="16" r:id="rId16"/>
    <sheet name="FX_Rodia_SMTP" sheetId="17" r:id="rId17"/>
    <sheet name="FX_Onderon_File" sheetId="18" r:id="rId18"/>
    <sheet name="FX_Kafka_Kafka" sheetId="19" r:id="rId19"/>
    <sheet name="FX_Dagobah_HTTP" sheetId="20" r:id="rId20"/>
    <sheet name="FX_ESB_SFTP" sheetId="21" r:id="rId21"/>
    <sheet name="FX_Vjun_SFTP" sheetId="22" r:id="rId22"/>
    <sheet name="Lists" sheetId="23" r:id="rId23" state="hidden"/>
    <sheet name="RefActors" sheetId="24" r:id="rId24" state="hidden"/>
    <sheet name="RefGroups" sheetId="25" r:id="rId25" state="hidden"/>
    <sheet name="RefActorTypes" sheetId="26" r:id="rId26" state="hidden"/>
    <sheet name="RefTechnologies" sheetId="27" r:id="rId27" state="hidden"/>
    <sheet name="Version" sheetId="28" r:id="rId28" state="hidden"/>
  </sheets>
  <definedNames>
    <definedName name="L_Perimetre">TblLists_Perimeter[Perimeter]</definedName>
    <definedName name="L_Sens">TblLists_Direction[Direction]</definedName>
    <definedName name="L_Decision">TblLists_Decision[Decision]</definedName>
    <definedName name="L_Criticite">TblLists_Criticality[Criticality]</definedName>
    <definedName name="L_Confirmation">TblLists_Confirmation[Confirmation]</definedName>
    <definedName name="L_Icone">TblLists_Icon[Icon]</definedName>
    <definedName name="L_Nature">TblLists_Nature[Nature]</definedName>
    <definedName name="L_TypeActeur">TblActorTypes[Actor type]</definedName>
    <definedName name="L_Acteur">TblActors[Name]</definedName>
    <definedName name="L_Groupe">TblGroups[Group]</definedName>
    <definedName name="L_TypeFlux">TblFlowTypes[Flow type]</definedName>
    <definedName name="L_Palier">TblMilestones[Milestone]</definedName>
    <definedName name="L_RefActeur">TblRefActors[Name]</definedName>
    <definedName name="L_RefGroupe">TblRefGroups[Name]</definedName>
    <definedName name="L_RefTypeActeur">TblRefActorTypes[Actor type]</definedName>
    <definedName name="L_RefTypeFlux">TblRefTechnologies[Flow type]</definedName>
  </definedNames>
</workbook>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6">
    <font>
      <sz val="12"/>
      <color theme="1"/>
      <name val="Calibri"/>
      <family val="2"/>
      <scheme val="minor"/>
    </font>
    <font>
      <b/>
      <sz val="18"/>
      <color rgb="FF0E7DAD"/>
      <name val="Calibri"/>
      <family val="2"/>
    </font>
    <font>
      <b/>
      <sz val="14"/>
      <color rgb="FF14181F"/>
      <name val="Calibri"/>
      <family val="2"/>
    </font>
    <font>
      <sz val="12"/>
      <color rgb="FF14181F"/>
      <name val="Calibri"/>
      <family val="2"/>
    </font>
    <font>
      <i/>
      <sz val="12"/>
      <color rgb="FF39424F"/>
      <name val="Calibri"/>
      <family val="2"/>
    </font>
    <font>
      <b/>
      <sz val="12"/>
      <color rgb="FFFFFFFF"/>
      <name val="Calibri"/>
      <family val="2"/>
    </font>
  </fonts>
  <fills count="4">
    <fill>
      <patternFill patternType="none"/>
    </fill>
    <fill>
      <patternFill patternType="gray125"/>
    </fill>
    <fill>
      <patternFill patternType="solid">
        <fgColor rgb="FFEAF3F8"/>
        <bgColor indexed="64"/>
      </patternFill>
    </fill>
    <fill>
      <patternFill patternType="solid">
        <fgColor rgb="FF0E7DAD"/>
        <bgColor indexed="64"/>
      </patternFill>
    </fill>
  </fills>
  <borders count="1">
    <border>
      <left/>
      <right/>
      <top/>
      <bottom/>
      <diagonal/>
    </border>
  </borders>
  <cellStyleXfs count="1">
    <xf numFmtId="0" fontId="0" fillId="0" borderId="0"/>
  </cellStyleXfs>
  <cellXfs count="6">
    <xf numFmtId="0" fontId="0" fillId="0" borderId="0" xfId="0" applyNumberFormat="1"/>
    <xf numFmtId="0" fontId="1" borderId="0" xfId="0" applyFont="1"/>
    <xf numFmtId="0" fontId="2" borderId="0" xfId="0" applyFont="1" fillId="2" applyFill="1" applyAlignment="1">
      <alignment vertical="top" wrapText="1"/>
    </xf>
    <xf numFmtId="0" fontId="3" borderId="0" xfId="0" applyFont="1" applyAlignment="1">
      <alignment vertical="top" wrapText="1"/>
    </xf>
    <xf numFmtId="0" fontId="4" borderId="0" xfId="0" applyFont="1"/>
    <xf numFmtId="0" fontId="5" borderId="0" xfId="0" applyFont="1" fillId="3" applyFill="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theme" Target="theme/theme1.xml"/><Relationship Id="rId30" Type="http://schemas.openxmlformats.org/officeDocument/2006/relationships/styles" Target="styles.xml"/></Relationships>
</file>

<file path=xl/tables/table1.xml><?xml version="1.0" encoding="utf-8"?>
<table xmlns="http://schemas.openxmlformats.org/spreadsheetml/2006/main" id="1" name="TblActors" displayName="TblActors" ref="A1:H17" totalsRowShown="0">
  <autoFilter ref="A1:H17"/>
  <tableColumns count="8">
    <tableColumn id="1" name="Name"/>
    <tableColumn id="2" name="Group"/>
    <tableColumn id="3" name="Actor type"/>
    <tableColumn id="4" name="Owner"/>
    <tableColumn id="5" name="Description"/>
    <tableColumn id="6" name="Comments"/>
    <tableColumn id="7" name="Introduced at"/>
    <tableColumn id="8" name="Retired at"/>
  </tableColumns>
  <tableStyleInfo name="TableStyleMedium2" showFirstColumn="0" showLastColumn="0" showRowStripes="1" showColumnStripes="0"/>
</table>
</file>

<file path=xl/tables/table2.xml><?xml version="1.0" encoding="utf-8"?>
<table xmlns="http://schemas.openxmlformats.org/spreadsheetml/2006/main" id="2" name="TblGroups" displayName="TblGroups" ref="A1:B6" totalsRowShown="0">
  <autoFilter ref="A1:B6"/>
  <tableColumns count="2">
    <tableColumn id="1" name="Group"/>
    <tableColumn id="2" name="Perimeter"/>
  </tableColumns>
  <tableStyleInfo name="TableStyleMedium2" showFirstColumn="0" showLastColumn="0" showRowStripes="1" showColumnStripes="0"/>
</table>
</file>

<file path=xl/tables/table3.xml><?xml version="1.0" encoding="utf-8"?>
<table xmlns="http://schemas.openxmlformats.org/spreadsheetml/2006/main" id="3" name="TblMilestones" displayName="TblMilestones" ref="A1:F4" totalsRowShown="0">
  <autoFilter ref="A1:F4"/>
  <tableColumns count="6">
    <tableColumn id="1" name="Milestone"/>
    <tableColumn id="2" name="Rank"/>
    <tableColumn id="3" name="Label"/>
    <tableColumn id="4" name="Status"/>
    <tableColumn id="5" name="Date"/>
    <tableColumn id="6" name="Description"/>
  </tableColumns>
  <tableStyleInfo name="TableStyleMedium2" showFirstColumn="0" showLastColumn="0" showRowStripes="1" showColumnStripes="0"/>
</table>
</file>

<file path=xl/tables/table4.xml><?xml version="1.0" encoding="utf-8"?>
<table xmlns="http://schemas.openxmlformats.org/spreadsheetml/2006/main" id="4" name="TblActorTypes" displayName="TblActorTypes" ref="A1:C8" totalsRowShown="0">
  <autoFilter ref="A1:C8"/>
  <tableColumns count="3">
    <tableColumn id="1" name="Actor type"/>
    <tableColumn id="2" name="Icon">
      <calculatedColumnFormula>IFERROR(INDEX(RefActorTypes!$B:$B,MATCH($A2,RefActorTypes!$A:$A,0)),"")</calculatedColumnFormula>
    </tableColumn>
    <tableColumn id="3" name="Nature">
      <calculatedColumnFormula>IFERROR(INDEX(RefActorTypes!$C:$C,MATCH($A2,RefActorTypes!$A:$A,0)),"")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id="5" name="TblFlowTypes" displayName="TblFlowTypes" ref="A1:D17" totalsRowShown="0">
  <autoFilter ref="A1:D17"/>
  <tableColumns count="4">
    <tableColumn id="1" name="Flow type"/>
    <tableColumn id="2" name="Direction">
      <calculatedColumnFormula>IFERROR(INDEX(RefTechnologies!$B:$B,MATCH($A2,RefTechnologies!$A:$A,0)),"")</calculatedColumnFormula>
    </tableColumn>
    <tableColumn id="3" name="Description">
      <calculatedColumnFormula>IFERROR(INDEX(RefTechnologies!$C:$C,MATCH($A2,RefTechnologies!$A:$A,0)),"")</calculatedColumnFormula>
    </tableColumn>
    <tableColumn id="4" name="Colour">
      <calculatedColumnFormula>IFERROR(INDEX(RefTechnologies!$D:$D,MATCH($A2,RefTechnologies!$A:$A,0)),"")</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TblInterfaces" displayName="TblInterfaces" ref="A1:K19" totalsRowShown="0">
  <autoFilter ref="A1:K19"/>
  <tableColumns count="11">
    <tableColumn id="1" name="Flow name"/>
    <tableColumn id="2" name="Version"/>
    <tableColumn id="3" name="Provider"/>
    <tableColumn id="4" name="Flow type"/>
    <tableColumn id="5" name="Description"/>
    <tableColumn id="6" name="Contract link"/>
    <tableColumn id="7" name="Contract reference"/>
    <tableColumn id="8" name="Comments"/>
    <tableColumn id="9" name="To confirm"/>
    <tableColumn id="10" name="Introduced at"/>
    <tableColumn id="11" name="Retired at"/>
  </tableColumns>
  <tableStyleInfo name="TableStyleMedium2" showFirstColumn="0" showLastColumn="0" showRowStripes="1" showColumnStripes="0"/>
</table>
</file>

<file path=xl/tables/table7.xml><?xml version="1.0" encoding="utf-8"?>
<table xmlns="http://schemas.openxmlformats.org/spreadsheetml/2006/main" id="7" name="TblFX_Takodana_HTTP" displayName="TblFX_Takodana_HTTP" ref="A1:J5" totalsRowShown="0">
  <autoFilter ref="A1:J5"/>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8.xml><?xml version="1.0" encoding="utf-8"?>
<table xmlns="http://schemas.openxmlformats.org/spreadsheetml/2006/main" id="8" name="TblFX_Sullust_HTTP" displayName="TblFX_Sullust_HTTP" ref="A1:J4" totalsRowShown="0">
  <autoFilter ref="A1:J4"/>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9.xml><?xml version="1.0" encoding="utf-8"?>
<table xmlns="http://schemas.openxmlformats.org/spreadsheetml/2006/main" id="9" name="TblFX_Chandrila_HTTP" displayName="TblFX_Chandrila_HTTP" ref="A1:J3" totalsRowShown="0">
  <autoFilter ref="A1:J3"/>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0.xml><?xml version="1.0" encoding="utf-8"?>
<table xmlns="http://schemas.openxmlformats.org/spreadsheetml/2006/main" id="10" name="TblFX_Chandrila_Kafka" displayName="TblFX_Chandrila_Kafka" ref="A1:J6" totalsRowShown="0">
  <autoFilter ref="A1:J6"/>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1.xml><?xml version="1.0" encoding="utf-8"?>
<table xmlns="http://schemas.openxmlformats.org/spreadsheetml/2006/main" id="11" name="TblFX_Malastare_File" displayName="TblFX_Malastare_File"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2.xml><?xml version="1.0" encoding="utf-8"?>
<table xmlns="http://schemas.openxmlformats.org/spreadsheetml/2006/main" id="12" name="TblFX_Ilum_File" displayName="TblFX_Ilum_File"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3.xml><?xml version="1.0" encoding="utf-8"?>
<table xmlns="http://schemas.openxmlformats.org/spreadsheetml/2006/main" id="13" name="TblFX_Malastare_Kafka" displayName="TblFX_Malastare_Kafka"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4.xml><?xml version="1.0" encoding="utf-8"?>
<table xmlns="http://schemas.openxmlformats.org/spreadsheetml/2006/main" id="14" name="TblFX_Onderon_SFTP" displayName="TblFX_Onderon_SFTP" ref="A1:J4" totalsRowShown="0">
  <autoFilter ref="A1:J4"/>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5.xml><?xml version="1.0" encoding="utf-8"?>
<table xmlns="http://schemas.openxmlformats.org/spreadsheetml/2006/main" id="15" name="TblFX_Chandrila_File" displayName="TblFX_Chandrila_File"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6.xml><?xml version="1.0" encoding="utf-8"?>
<table xmlns="http://schemas.openxmlformats.org/spreadsheetml/2006/main" id="16" name="TblFX_Rodia_SMTP" displayName="TblFX_Rodia_SMTP"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7.xml><?xml version="1.0" encoding="utf-8"?>
<table xmlns="http://schemas.openxmlformats.org/spreadsheetml/2006/main" id="17" name="TblFX_Onderon_File" displayName="TblFX_Onderon_File"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8.xml><?xml version="1.0" encoding="utf-8"?>
<table xmlns="http://schemas.openxmlformats.org/spreadsheetml/2006/main" id="18" name="TblFX_Kafka_Kafka" displayName="TblFX_Kafka_Kafka" ref="A1:J3" totalsRowShown="0">
  <autoFilter ref="A1:J3"/>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19.xml><?xml version="1.0" encoding="utf-8"?>
<table xmlns="http://schemas.openxmlformats.org/spreadsheetml/2006/main" id="19" name="TblFX_Dagobah_HTTP" displayName="TblFX_Dagobah_HTTP"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20.xml><?xml version="1.0" encoding="utf-8"?>
<table xmlns="http://schemas.openxmlformats.org/spreadsheetml/2006/main" id="20" name="TblFX_ESB_SFTP" displayName="TblFX_ESB_SFTP"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21.xml><?xml version="1.0" encoding="utf-8"?>
<table xmlns="http://schemas.openxmlformats.org/spreadsheetml/2006/main" id="21" name="TblFX_Vjun_SFTP" displayName="TblFX_Vjun_SFTP" ref="A1:J2" totalsRowShown="0">
  <autoFilter ref="A1:J2"/>
  <tableColumns count="10">
    <tableColumn id="1" name="Flow name"/>
    <tableColumn id="2" name="Version"/>
    <tableColumn id="3" name="Consumer"/>
    <tableColumn id="4" name="Usage"/>
    <tableColumn id="5" name="Criticality for this consumer"/>
    <tableColumn id="6" name="Decision"/>
    <tableColumn id="7" name="Comments"/>
    <tableColumn id="8" name="Republished as"/>
    <tableColumn id="9" name="Introduced at"/>
    <tableColumn id="10" name="Retired at"/>
  </tableColumns>
  <tableStyleInfo name="TableStyleMedium2" showFirstColumn="0" showLastColumn="0" showRowStripes="1" showColumnStripes="0"/>
</table>
</file>

<file path=xl/tables/table22.xml><?xml version="1.0" encoding="utf-8"?>
<table xmlns="http://schemas.openxmlformats.org/spreadsheetml/2006/main" id="22" name="TblLists_Perimeter" displayName="TblLists_Perimeter" ref="A1:A3" totalsRowShown="0">
  <autoFilter ref="A1:A3"/>
  <tableColumns count="1">
    <tableColumn id="1" name="Perimeter"/>
  </tableColumns>
  <tableStyleInfo name="TableStyleMedium2" showFirstColumn="0" showLastColumn="0" showRowStripes="1" showColumnStripes="0"/>
</table>
</file>

<file path=xl/tables/table23.xml><?xml version="1.0" encoding="utf-8"?>
<table xmlns="http://schemas.openxmlformats.org/spreadsheetml/2006/main" id="23" name="TblLists_Direction" displayName="TblLists_Direction" ref="B1:B3" totalsRowShown="0">
  <autoFilter ref="B1:B3"/>
  <tableColumns count="1">
    <tableColumn id="1" name="Direction"/>
  </tableColumns>
  <tableStyleInfo name="TableStyleMedium2" showFirstColumn="0" showLastColumn="0" showRowStripes="1" showColumnStripes="0"/>
</table>
</file>

<file path=xl/tables/table24.xml><?xml version="1.0" encoding="utf-8"?>
<table xmlns="http://schemas.openxmlformats.org/spreadsheetml/2006/main" id="24" name="TblLists_Decision" displayName="TblLists_Decision" ref="C1:C5" totalsRowShown="0">
  <autoFilter ref="C1:C5"/>
  <tableColumns count="1">
    <tableColumn id="1" name="Decision"/>
  </tableColumns>
  <tableStyleInfo name="TableStyleMedium2" showFirstColumn="0" showLastColumn="0" showRowStripes="1" showColumnStripes="0"/>
</table>
</file>

<file path=xl/tables/table25.xml><?xml version="1.0" encoding="utf-8"?>
<table xmlns="http://schemas.openxmlformats.org/spreadsheetml/2006/main" id="25" name="TblLists_Criticality" displayName="TblLists_Criticality" ref="D1:D4" totalsRowShown="0">
  <autoFilter ref="D1:D4"/>
  <tableColumns count="1">
    <tableColumn id="1" name="Criticality"/>
  </tableColumns>
  <tableStyleInfo name="TableStyleMedium2" showFirstColumn="0" showLastColumn="0" showRowStripes="1" showColumnStripes="0"/>
</table>
</file>

<file path=xl/tables/table26.xml><?xml version="1.0" encoding="utf-8"?>
<table xmlns="http://schemas.openxmlformats.org/spreadsheetml/2006/main" id="26" name="TblLists_Confirmation" displayName="TblLists_Confirmation" ref="E1:E3" totalsRowShown="0">
  <autoFilter ref="E1:E3"/>
  <tableColumns count="1">
    <tableColumn id="1" name="Confirmation"/>
  </tableColumns>
  <tableStyleInfo name="TableStyleMedium2" showFirstColumn="0" showLastColumn="0" showRowStripes="1" showColumnStripes="0"/>
</table>
</file>

<file path=xl/tables/table27.xml><?xml version="1.0" encoding="utf-8"?>
<table xmlns="http://schemas.openxmlformats.org/spreadsheetml/2006/main" id="27" name="TblLists_Nature" displayName="TblLists_Nature" ref="F1:F4" totalsRowShown="0">
  <autoFilter ref="F1:F4"/>
  <tableColumns count="1">
    <tableColumn id="1" name="Nature"/>
  </tableColumns>
  <tableStyleInfo name="TableStyleMedium2" showFirstColumn="0" showLastColumn="0" showRowStripes="1" showColumnStripes="0"/>
</table>
</file>

<file path=xl/tables/table28.xml><?xml version="1.0" encoding="utf-8"?>
<table xmlns="http://schemas.openxmlformats.org/spreadsheetml/2006/main" id="28" name="TblLists_Icon" displayName="TblLists_Icon" ref="G1:G26" totalsRowShown="0">
  <autoFilter ref="G1:G26"/>
  <tableColumns count="1">
    <tableColumn id="1" name="Icon"/>
  </tableColumns>
  <tableStyleInfo name="TableStyleMedium2" showFirstColumn="0" showLastColumn="0" showRowStripes="1" showColumnStripes="0"/>
</table>
</file>

<file path=xl/tables/table29.xml><?xml version="1.0" encoding="utf-8"?>
<table xmlns="http://schemas.openxmlformats.org/spreadsheetml/2006/main" id="29" name="TblLists_Preview" displayName="TblLists_Preview" ref="H1:H26" totalsRowShown="0">
  <autoFilter ref="H1:H26"/>
  <tableColumns count="1">
    <tableColumn id="1" name="Preview"/>
  </tableColumns>
  <tableStyleInfo name="TableStyleMedium2" showFirstColumn="0" showLastColumn="0" showRowStripes="1" showColumnStripes="0"/>
</table>
</file>

<file path=xl/tables/table30.xml><?xml version="1.0" encoding="utf-8"?>
<table xmlns="http://schemas.openxmlformats.org/spreadsheetml/2006/main" id="30" name="TblRefActors" displayName="TblRefActors" ref="A1:E17" totalsRowShown="0">
  <autoFilter ref="A1:E17"/>
  <tableColumns count="5">
    <tableColumn id="1" name="Name"/>
    <tableColumn id="2" name="Group"/>
    <tableColumn id="3" name="Actor type"/>
    <tableColumn id="4" name="Owner"/>
    <tableColumn id="5" name="Description"/>
  </tableColumns>
  <tableStyleInfo name="TableStyleMedium2" showFirstColumn="0" showLastColumn="0" showRowStripes="1" showColumnStripes="0"/>
</table>
</file>

<file path=xl/tables/table31.xml><?xml version="1.0" encoding="utf-8"?>
<table xmlns="http://schemas.openxmlformats.org/spreadsheetml/2006/main" id="31" name="TblRefGroups" displayName="TblRefGroups" ref="A1:B6" totalsRowShown="0">
  <autoFilter ref="A1:B6"/>
  <tableColumns count="2">
    <tableColumn id="1" name="Name"/>
    <tableColumn id="2" name="Description"/>
  </tableColumns>
  <tableStyleInfo name="TableStyleMedium2" showFirstColumn="0" showLastColumn="0" showRowStripes="1" showColumnStripes="0"/>
</table>
</file>

<file path=xl/tables/table32.xml><?xml version="1.0" encoding="utf-8"?>
<table xmlns="http://schemas.openxmlformats.org/spreadsheetml/2006/main" id="32" name="TblRefActorTypes" displayName="TblRefActorTypes" ref="A1:D8" totalsRowShown="0">
  <autoFilter ref="A1:D8"/>
  <tableColumns count="4">
    <tableColumn id="1" name="Actor type"/>
    <tableColumn id="2" name="Icon"/>
    <tableColumn id="3" name="Nature"/>
    <tableColumn id="4" name="Description"/>
  </tableColumns>
  <tableStyleInfo name="TableStyleMedium2" showFirstColumn="0" showLastColumn="0" showRowStripes="1" showColumnStripes="0"/>
</table>
</file>

<file path=xl/tables/table33.xml><?xml version="1.0" encoding="utf-8"?>
<table xmlns="http://schemas.openxmlformats.org/spreadsheetml/2006/main" id="33" name="TblRefTechnologies" displayName="TblRefTechnologies" ref="A1:D17" totalsRowShown="0">
  <autoFilter ref="A1:D17"/>
  <tableColumns count="4">
    <tableColumn id="1" name="Flow type"/>
    <tableColumn id="2" name="Direction"/>
    <tableColumn id="3" name="Description"/>
    <tableColumn id="4" name="Colou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Relationships xmlns="http://schemas.openxmlformats.org/package/2006/relationships"><Relationship Id="rId1" Type="http://schemas.openxmlformats.org/officeDocument/2006/relationships/table" Target="../tables/table1.xml"/></Relationships>
</file>

<file path=xl/worksheets/_rels/sheet3.xml.rels><?xml version="1.0" encoding="UTF-8" standalone="yes"?><Relationships xmlns="http://schemas.openxmlformats.org/package/2006/relationships"><Relationship Id="rId1" Type="http://schemas.openxmlformats.org/officeDocument/2006/relationships/table" Target="../tables/table2.xml"/></Relationships>
</file>

<file path=xl/worksheets/_rels/sheet4.xml.rels><?xml version="1.0" encoding="UTF-8" standalone="yes"?><Relationships xmlns="http://schemas.openxmlformats.org/package/2006/relationships"><Relationship Id="rId1" Type="http://schemas.openxmlformats.org/officeDocument/2006/relationships/table" Target="../tables/table3.xml"/></Relationships>
</file>

<file path=xl/worksheets/_rels/sheet5.xml.rels><?xml version="1.0" encoding="UTF-8" standalone="yes"?><Relationships xmlns="http://schemas.openxmlformats.org/package/2006/relationships"><Relationship Id="rId1" Type="http://schemas.openxmlformats.org/officeDocument/2006/relationships/table" Target="../tables/table4.xml"/></Relationships>
</file>

<file path=xl/worksheets/_rels/sheet6.xml.rels><?xml version="1.0" encoding="UTF-8" standalone="yes"?><Relationships xmlns="http://schemas.openxmlformats.org/package/2006/relationships"><Relationship Id="rId1" Type="http://schemas.openxmlformats.org/officeDocument/2006/relationships/table" Target="../tables/table5.xml"/></Relationships>
</file>

<file path=xl/worksheets/_rels/sheet7.xml.rels><?xml version="1.0" encoding="UTF-8" standalone="yes"?><Relationships xmlns="http://schemas.openxmlformats.org/package/2006/relationships"><Relationship Id="rId1" Type="http://schemas.openxmlformats.org/officeDocument/2006/relationships/table" Target="../tables/table6.xml"/></Relationships>
</file>

<file path=xl/worksheets/_rels/sheet8.xml.rels><?xml version="1.0" encoding="UTF-8" standalone="yes"?><Relationships xmlns="http://schemas.openxmlformats.org/package/2006/relationships"><Relationship Id="rId1" Type="http://schemas.openxmlformats.org/officeDocument/2006/relationships/table" Target="../tables/table7.xml"/></Relationships>
</file>

<file path=xl/worksheets/_rels/sheet9.xml.rels><?xml version="1.0" encoding="UTF-8" standalone="yes"?><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Relationships xmlns="http://schemas.openxmlformats.org/package/2006/relationships"><Relationship Id="rId1" Type="http://schemas.openxmlformats.org/officeDocument/2006/relationships/table" Target="../tables/table22.xml"/><Relationship Id="rId2" Type="http://schemas.openxmlformats.org/officeDocument/2006/relationships/table" Target="../tables/table23.xml"/><Relationship Id="rId3" Type="http://schemas.openxmlformats.org/officeDocument/2006/relationships/table" Target="../tables/table24.xml"/><Relationship Id="rId4" Type="http://schemas.openxmlformats.org/officeDocument/2006/relationships/table" Target="../tables/table25.xml"/><Relationship Id="rId5" Type="http://schemas.openxmlformats.org/officeDocument/2006/relationships/table" Target="../tables/table26.xml"/><Relationship Id="rId6" Type="http://schemas.openxmlformats.org/officeDocument/2006/relationships/table" Target="../tables/table27.xml"/><Relationship Id="rId7" Type="http://schemas.openxmlformats.org/officeDocument/2006/relationships/table" Target="../tables/table28.xml"/><Relationship Id="rId8" Type="http://schemas.openxmlformats.org/officeDocument/2006/relationships/table" Target="../tables/table29.xml"/></Relationships>
</file>

<file path=xl/worksheets/_rels/sheet24.xml.rels><?xml version="1.0" encoding="UTF-8" standalone="yes"?><Relationships xmlns="http://schemas.openxmlformats.org/package/2006/relationships"><Relationship Id="rId1" Type="http://schemas.openxmlformats.org/officeDocument/2006/relationships/table" Target="../tables/table30.xml"/></Relationships>
</file>

<file path=xl/worksheets/_rels/sheet25.xml.rels><?xml version="1.0" encoding="UTF-8" standalone="yes"?><Relationships xmlns="http://schemas.openxmlformats.org/package/2006/relationships"><Relationship Id="rId1" Type="http://schemas.openxmlformats.org/officeDocument/2006/relationships/table" Target="../tables/table31.xml"/></Relationships>
</file>

<file path=xl/worksheets/_rels/sheet26.xml.rels><?xml version="1.0" encoding="UTF-8" standalone="yes"?><Relationships xmlns="http://schemas.openxmlformats.org/package/2006/relationships"><Relationship Id="rId1" Type="http://schemas.openxmlformats.org/officeDocument/2006/relationships/table" Target="../tables/table32.xml"/></Relationships>
</file>

<file path=xl/worksheets/_rels/sheet27.xml.rels><?xml version="1.0" encoding="UTF-8" standalone="yes"?><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dimension ref="A1:B57"/>
  <sheetViews>
    <sheetView workbookViewId="0"/>
  </sheetViews>
  <cols>
    <col min="1" max="1" width="26.83203125" customWidth="1"/>
    <col min="2" max="2" width="104.83203125" customWidth="1"/>
  </cols>
  <sheetData>
    <row r="1">
      <c r="A1" t="str" s="1">
        <v>INTERFACE MAP</v>
      </c>
      <c r="B1" t="str" s="1">
        <v>How to fill this workbook in — and what the tool makes of it.</v>
      </c>
    </row>
    <row r="2">
      <c r="A2" t="str" s="4">
        <v/>
      </c>
      <c r="B2" t="str" s="4">
        <v>You never fill the same thing twice: every sheet answers one question, and the drop-down lists are built from the sheets before it.</v>
      </c>
    </row>
    <row r="3">
      <c r="A3" t="str" s="3">
        <v/>
      </c>
      <c r="B3" t="str" s="3">
        <v/>
      </c>
    </row>
    <row r="4">
      <c r="A4" t="str" s="2">
        <v>START HERE</v>
      </c>
      <c r="B4" t="str" s="2">
        <v/>
      </c>
    </row>
    <row r="5">
      <c r="A5" t="str" s="3">
        <v>1. Groups</v>
      </c>
      <c r="B5" t="str" s="3">
        <v>Name your groups and say, for each, whether it is Platform (what your team owns) or External.</v>
      </c>
    </row>
    <row r="6">
      <c r="A6" t="str" s="3">
        <v>2. Actors</v>
      </c>
      <c r="B6" t="str" s="3">
        <v>List the components. Each belongs to a group and carries a type.</v>
      </c>
    </row>
    <row r="7">
      <c r="A7" t="str" s="3">
        <v>3. ActorTypes</v>
      </c>
      <c r="B7" t="str" s="3">
        <v>Give each type its icon, and say whether it is Business or Technical.</v>
      </c>
    </row>
    <row r="8">
      <c r="A8" t="str" s="3">
        <v>4. FlowTypes</v>
      </c>
      <c r="B8" t="str" s="3">
        <v>Keep the technologies you use, delete the rest.</v>
      </c>
    </row>
    <row r="9">
      <c r="A9" t="str" s="3">
        <v>5. Interfaces</v>
      </c>
      <c r="B9" t="str" s="3">
        <v>Declare each interface: its name, its version, WHO PROVIDES it, over which technology.</v>
      </c>
    </row>
    <row r="10">
      <c r="A10" t="str" s="3">
        <v>6. FX_ sheets</v>
      </c>
      <c r="B10" t="str" s="3">
        <v>One sheet per (provider, technology) pair: who consumes what, and how critical it is to them.</v>
      </c>
    </row>
    <row r="11">
      <c r="A11" t="str" s="4">
        <v/>
      </c>
      <c r="B11" t="str" s="4">
        <v>Select any cell: a note tells you what is expected there.</v>
      </c>
    </row>
    <row r="12">
      <c r="A12" t="str" s="3">
        <v/>
      </c>
      <c r="B12" t="str" s="3">
        <v/>
      </c>
    </row>
    <row r="13">
      <c r="A13" t="str" s="2">
        <v>THE PRINCIPLE</v>
      </c>
      <c r="B13" t="str" s="2">
        <v/>
      </c>
    </row>
    <row r="14">
      <c r="A14" t="str" s="3">
        <v/>
      </c>
      <c r="B14" t="str" s="3">
        <v>An interface is PROVIDED once, by one actor, and CONSUMED by one or more others.</v>
      </c>
    </row>
    <row r="15">
      <c r="A15" t="str" s="3">
        <v/>
      </c>
      <c r="B15" t="str" s="3">
        <v>It is described once on Interfaces, and its consumptions are detailed on an FX_&lt;provider&gt;_&lt;flow type&gt; sheet.</v>
      </c>
    </row>
    <row r="16">
      <c r="A16" t="str" s="3">
        <v/>
      </c>
      <c r="B16" t="str" s="3">
        <v>Two actors may publish interfaces of the same name: those are two interfaces, told apart by their provider.</v>
      </c>
    </row>
    <row r="17">
      <c r="A17" t="str" s="3">
        <v/>
      </c>
      <c r="B17" t="str" s="3">
        <v/>
      </c>
    </row>
    <row r="18">
      <c r="A18" t="str" s="2">
        <v>THE TWO READINGS</v>
      </c>
      <c r="B18" t="str" s="2">
        <v/>
      </c>
    </row>
    <row r="19">
      <c r="A19" t="str" s="3">
        <v/>
      </c>
      <c r="B19" t="str" s="3">
        <v>The same workbook is read two ways, and you fill it in only once.</v>
      </c>
    </row>
    <row r="20">
      <c r="A20" t="str" s="3">
        <v>Architecture</v>
      </c>
      <c r="B20" t="str" s="3">
        <v>answers « what does it go through »: every hop is drawn, buses and gateways included.</v>
      </c>
    </row>
    <row r="21">
      <c r="A21" t="str" s="3">
        <v>Functional</v>
      </c>
      <c r="B21" t="str" s="3">
        <v>answers « who feeds whom »: technical actors disappear, and the flows crossing them are joined end to end.</v>
      </c>
    </row>
    <row r="22">
      <c r="A22" t="str" s="3">
        <v/>
      </c>
      <c r="B22" t="str" s="3">
        <v>Two columns carry the distinction, and both are optional. Nature, on ActorTypes, says which types are technical. Republished as, on the FX_ sheets, is filled on a technical actor's own consumption lines: under which of ITS interfaces that input comes back out.</v>
      </c>
    </row>
    <row r="23">
      <c r="A23" t="str" s="3">
        <v/>
      </c>
      <c r="B23" t="str" s="3">
        <v>A bus that aggregates writes nothing special — it simply has several lines pointing at the same interface.</v>
      </c>
    </row>
    <row r="24">
      <c r="A24" t="str" s="4">
        <v/>
      </c>
      <c r="B24" t="str" s="4">
        <v>Fill neither column and the tool never mentions the distinction.</v>
      </c>
    </row>
    <row r="25">
      <c r="A25" t="str" s="3">
        <v/>
      </c>
      <c r="B25" t="str" s="3">
        <v/>
      </c>
    </row>
    <row r="26">
      <c r="A26" t="str" s="2">
        <v>THE SHEETS</v>
      </c>
      <c r="B26" t="str" s="2">
        <v/>
      </c>
    </row>
    <row r="27">
      <c r="A27" t="str" s="3">
        <v>Groups</v>
      </c>
      <c r="B27" t="str" s="3">
        <v>The perimeter is declared HERE, not on each actor: a group is Platform or External, and everything it holds follows.</v>
      </c>
    </row>
    <row r="28">
      <c r="A28" t="str" s="3">
        <v>Actors</v>
      </c>
      <c r="B28" t="str" s="3">
        <v>Who exists, in which group, of which type.</v>
      </c>
    </row>
    <row r="29">
      <c r="A29" t="str" s="3">
        <v>ActorTypes</v>
      </c>
      <c r="B29" t="str" s="3">
        <v>Which icon each actor type wears — and thereby the list of types that exist. Nature tells Business from Technical.</v>
      </c>
    </row>
    <row r="30">
      <c r="A30" t="str" s="3">
        <v>FlowTypes</v>
      </c>
      <c r="B30" t="str" s="3">
        <v>The technologies and the direction they are drawn in.</v>
      </c>
    </row>
    <row r="31">
      <c r="A31" t="str" s="4">
        <v/>
      </c>
      <c r="B31" t="str" s="4">
        <v>Add a Colour column to FlowTypes to pin a technology's shade, as a hex code such as #2a78d6. Without it the tool picks one from its palette; a colour too light to see is darkened on screen, and the report says so.</v>
      </c>
    </row>
    <row r="32">
      <c r="A32" t="str" s="3">
        <v>Milestones</v>
      </c>
      <c r="B32" t="str" s="3">
        <v>The platform's timeline. Every row elsewhere says at which milestone it arrived and at which one it left.</v>
      </c>
    </row>
    <row r="33">
      <c r="A33" t="str" s="3">
        <v>Interfaces</v>
      </c>
      <c r="B33" t="str" s="3">
        <v>The catalogue: a flow, its provider, its technology, its contract.</v>
      </c>
    </row>
    <row r="34">
      <c r="A34" t="str" s="3">
        <v>FX_…</v>
      </c>
      <c r="B34" t="str" s="3">
        <v>One sheet per (provider, flow type) pair: who consumes what.</v>
      </c>
    </row>
    <row r="35">
      <c r="A35" t="str" s="4">
        <v/>
      </c>
      <c r="B35" t="str" s="4">
        <v>Lists and Version are hidden and filled by the tool. Right-click a tab &gt; Unhide to see them; do not edit them.</v>
      </c>
    </row>
    <row r="36">
      <c r="A36" t="str" s="3">
        <v/>
      </c>
      <c r="B36" t="str" s="3">
        <v/>
      </c>
    </row>
    <row r="37">
      <c r="A37" t="str" s="2">
        <v>ENTRY RULES</v>
      </c>
      <c r="B37" t="str" s="2">
        <v/>
      </c>
    </row>
    <row r="38">
      <c r="A38" t="str" s="3">
        <v>Drop-down lists</v>
      </c>
      <c r="B38" t="str" s="3">
        <v>Reference columns carry them and they grow by themselves: add an actor and it appears at once on Interfaces and on the FX_ sheets. Never type a name by hand — a spelling variant creates a phantom actor.</v>
      </c>
    </row>
    <row r="39">
      <c r="A39" t="str" s="3">
        <v>Flow name</v>
      </c>
      <c r="B39" t="str" s="3">
        <v>Unique for one provider, together with its version: that pair links the catalogue to the detail.</v>
      </c>
    </row>
    <row r="40">
      <c r="A40" t="str" s="3">
        <v>Version</v>
      </c>
      <c r="B40" t="str" s="3">
        <v>On an FX_ sheet, fill Flow name in first: the versions offered are the ones declared for that interface.</v>
      </c>
    </row>
    <row r="41">
      <c r="A41" t="str" s="3">
        <v>Republished as</v>
      </c>
      <c r="B41" t="str" s="3">
        <v>Only on a technical actor's own consumption lines: which of its interfaces republishes this input. The drop-down offers that actor's interfaces and no others.</v>
      </c>
    </row>
    <row r="42">
      <c r="A42" t="str" s="3">
        <v>Decision</v>
      </c>
      <c r="B42" t="str" s="3">
        <v>What has been decided for one consumption. Remove is a DEPRECATION warning, not a retirement.</v>
      </c>
    </row>
    <row r="43">
      <c r="A43" t="str" s="3">
        <v>Retired at</v>
      </c>
      <c r="B43" t="str" s="3">
        <v>The only column that takes a row off the diagrams. A row retired AT v3 is already gone at v3.</v>
      </c>
    </row>
    <row r="44">
      <c r="A44" t="str" s="3">
        <v>Obsolete row</v>
      </c>
      <c r="B44" t="str" s="3">
        <v>Do not delete it: give it a retirement milestone. Deleting it erases the history.</v>
      </c>
    </row>
    <row r="45">
      <c r="A45" t="str" s="3">
        <v>Renaming an actor</v>
      </c>
      <c r="B45" t="str" s="3">
        <v>Breaks every reference to it. Find and replace across the whole workbook, or not at all.</v>
      </c>
    </row>
    <row r="46">
      <c r="A46" t="str" s="3">
        <v/>
      </c>
      <c r="B46" t="str" s="3">
        <v/>
      </c>
    </row>
    <row r="47">
      <c r="A47" t="str" s="2">
        <v>READING AN ARROW</v>
      </c>
      <c r="B47" t="str" s="2">
        <v/>
      </c>
    </row>
    <row r="48">
      <c r="A48" t="str" s="3">
        <v/>
      </c>
      <c r="B48" t="str" s="3">
        <v>Nothing to type in: two things are drawn, and both follow from the flow type.</v>
      </c>
    </row>
    <row r="49">
      <c r="A49" t="str" s="3">
        <v>The line</v>
      </c>
      <c r="B49" t="str" s="3">
        <v>follows the data, always from provider to consumer, so a chain of relays reads like a pipe.</v>
      </c>
    </row>
    <row r="50">
      <c r="A50" t="str" s="3">
        <v>The arrowhead</v>
      </c>
      <c r="B50" t="str" s="3">
        <v>says who takes the initiative. A SOLID head means the provider pushes — Kafka, JMS, a file drop. An OPEN V means the consumer pulls — HTTP, SQL, LDAP — and it sits at the provider's end, pointing back at what is being queried.</v>
      </c>
    </row>
    <row r="51">
      <c r="A51" t="str" s="4">
        <v/>
      </c>
      <c r="B51" t="str" s="4">
        <v>The functional reading keeps the line and drops the nuance: a chain crosses technologies of opposite conventions, and only the data direction survives that.</v>
      </c>
    </row>
    <row r="52">
      <c r="A52" t="str" s="3">
        <v/>
      </c>
      <c r="B52" t="str" s="3">
        <v/>
      </c>
    </row>
    <row r="53">
      <c r="A53" t="str" s="2">
        <v>MISSING FX_ SHEETS</v>
      </c>
      <c r="B53" t="str" s="2">
        <v/>
      </c>
    </row>
    <row r="54">
      <c r="A54" t="str" s="3">
        <v/>
      </c>
      <c r="B54" t="str" s="3">
        <v>Fill Interfaces in first: each row calls for an FX_&lt;provider&gt;_&lt;type&gt; sheet. Create it by hand, or drop this workbook on the tool and use « Repair or upgrade a workbook » — it returns the file with every expected sheet.</v>
      </c>
    </row>
    <row r="55">
      <c r="A55" t="str" s="4">
        <v/>
      </c>
      <c r="B55" t="str" s="4">
        <v>Excel caps a tab name at 31 characters and refuses \ / ? * [ ] : a long provider therefore gets a shortened tab. The tool cuts it the same way, so the two always agree, and it warns if two pairs land on the same tab.</v>
      </c>
    </row>
    <row r="56">
      <c r="A56" t="str" s="3">
        <v/>
      </c>
      <c r="B56" t="str" s="3">
        <v/>
      </c>
    </row>
    <row r="57">
      <c r="A57" t="str" s="4">
        <v/>
      </c>
      <c r="B57" t="str" s="4">
        <v>The visualisation tool only READS this workbook: it never modifies it.</v>
      </c>
    </row>
  </sheetData>
  <ignoredErrors>
    <ignoredError numberStoredAsText="1" sqref="A1:B57"/>
  </ignoredErrors>
</worksheet>
</file>

<file path=xl/worksheets/sheet2.xml><?xml version="1.0" encoding="utf-8"?>
<worksheet xmlns="http://schemas.openxmlformats.org/spreadsheetml/2006/main" xmlns:r="http://schemas.openxmlformats.org/officeDocument/2006/relationships">
  <dimension ref="A1:H17"/>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16.83203125" customWidth="1"/>
    <col min="6" max="6" width="16.83203125" customWidth="1"/>
    <col min="7" max="7" width="17.83203125" customWidth="1"/>
    <col min="8" max="8" width="16.83203125" customWidth="1"/>
  </cols>
  <sheetData>
    <row r="1">
      <c r="A1" t="str" s="5">
        <v>Name</v>
      </c>
      <c r="B1" t="str" s="5">
        <v>Group</v>
      </c>
      <c r="C1" t="str" s="5">
        <v>Actor type</v>
      </c>
      <c r="D1" t="str" s="5">
        <v>Owner</v>
      </c>
      <c r="E1" t="str" s="5">
        <v>Description</v>
      </c>
      <c r="F1" t="str" s="5">
        <v>Comments</v>
      </c>
      <c r="G1" t="str" s="5">
        <v>Introduced at</v>
      </c>
      <c r="H1" t="str" s="5">
        <v>Retired at</v>
      </c>
    </row>
    <row r="2">
      <c r="A2" t="str">
        <v>Chandrila</v>
      </c>
      <c r="B2" t="str">
        <v>Core</v>
      </c>
      <c r="C2" t="str">
        <v>Application</v>
      </c>
      <c r="D2" t="str">
        <v>Policy team</v>
      </c>
      <c r="E2" t="str">
        <v>Policy management</v>
      </c>
      <c r="F2" t="str">
        <v/>
      </c>
      <c r="G2" t="str">
        <v>v1</v>
      </c>
      <c r="H2" t="str">
        <v/>
      </c>
    </row>
    <row r="3">
      <c r="A3" t="str">
        <v>Sullust</v>
      </c>
      <c r="B3" t="str">
        <v>Core</v>
      </c>
      <c r="C3" t="str">
        <v>Service</v>
      </c>
      <c r="D3" t="str">
        <v>Actuarial team</v>
      </c>
      <c r="E3" t="str">
        <v>Pricing engine</v>
      </c>
      <c r="F3" t="str">
        <v/>
      </c>
      <c r="G3" t="str">
        <v>v1</v>
      </c>
      <c r="H3" t="str">
        <v/>
      </c>
    </row>
    <row r="4">
      <c r="A4" t="str">
        <v>Takodana</v>
      </c>
      <c r="B4" t="str">
        <v>Core</v>
      </c>
      <c r="C4" t="str">
        <v>Service</v>
      </c>
      <c r="D4" t="str">
        <v>Data team</v>
      </c>
      <c r="E4" t="str">
        <v>Member repository</v>
      </c>
      <c r="F4" t="str">
        <v/>
      </c>
      <c r="G4" t="str">
        <v>v1</v>
      </c>
      <c r="H4" t="str">
        <v/>
      </c>
    </row>
    <row r="5">
      <c r="A5" t="str">
        <v>Malastare</v>
      </c>
      <c r="B5" t="str">
        <v>Core</v>
      </c>
      <c r="C5" t="str">
        <v>Infrastructure</v>
      </c>
      <c r="D5" t="str">
        <v>Integration team</v>
      </c>
      <c r="E5" t="str">
        <v>Internal message bus</v>
      </c>
      <c r="F5" t="str">
        <v/>
      </c>
      <c r="G5" t="str">
        <v>v1</v>
      </c>
      <c r="H5" t="str">
        <v/>
      </c>
    </row>
    <row r="6">
      <c r="A6" t="str">
        <v>Rodia</v>
      </c>
      <c r="B6" t="str">
        <v>Core</v>
      </c>
      <c r="C6" t="str">
        <v>Application</v>
      </c>
      <c r="D6" t="str">
        <v>Digital team</v>
      </c>
      <c r="E6" t="str">
        <v>Member portal</v>
      </c>
      <c r="F6" t="str">
        <v/>
      </c>
      <c r="G6" t="str">
        <v>v1</v>
      </c>
      <c r="H6" t="str">
        <v/>
      </c>
    </row>
    <row r="7">
      <c r="A7" t="str">
        <v>Onderon</v>
      </c>
      <c r="B7" t="str">
        <v>Core</v>
      </c>
      <c r="C7" t="str">
        <v>Service</v>
      </c>
      <c r="D7" t="str">
        <v>Compliance team</v>
      </c>
      <c r="E7" t="str">
        <v>Regulatory archiving</v>
      </c>
      <c r="F7" t="str">
        <v/>
      </c>
      <c r="G7" t="str">
        <v>v1</v>
      </c>
      <c r="H7" t="str">
        <v/>
      </c>
    </row>
    <row r="8">
      <c r="A8" t="str">
        <v>Bracca</v>
      </c>
      <c r="B8" t="str">
        <v>Sales network</v>
      </c>
      <c r="C8" t="str">
        <v>Partner</v>
      </c>
      <c r="D8" t="str">
        <v>Sales division</v>
      </c>
      <c r="E8" t="str">
        <v>Wholesale broker</v>
      </c>
      <c r="F8" t="str">
        <v/>
      </c>
      <c r="G8" t="str">
        <v>v1</v>
      </c>
      <c r="H8" t="str">
        <v/>
      </c>
    </row>
    <row r="9">
      <c r="A9" t="str">
        <v>Zeffo</v>
      </c>
      <c r="B9" t="str">
        <v>Sales network</v>
      </c>
      <c r="C9" t="str">
        <v>Application</v>
      </c>
      <c r="D9" t="str">
        <v>Sales division</v>
      </c>
      <c r="E9" t="str">
        <v>Online subscription</v>
      </c>
      <c r="F9" t="str">
        <v/>
      </c>
      <c r="G9" t="str">
        <v>v1</v>
      </c>
      <c r="H9" t="str">
        <v/>
      </c>
    </row>
    <row r="10">
      <c r="A10" t="str">
        <v>Ilum</v>
      </c>
      <c r="B10" t="str">
        <v>Health partners</v>
      </c>
      <c r="C10" t="str">
        <v>Partner</v>
      </c>
      <c r="D10" t="str">
        <v>Partnerships division</v>
      </c>
      <c r="E10" t="str">
        <v>Care facility</v>
      </c>
      <c r="F10" t="str">
        <v/>
      </c>
      <c r="G10" t="str">
        <v>v1</v>
      </c>
      <c r="H10" t="str">
        <v/>
      </c>
    </row>
    <row r="11">
      <c r="A11" t="str">
        <v>Serenno</v>
      </c>
      <c r="B11" t="str">
        <v>Institutional</v>
      </c>
      <c r="C11" t="str">
        <v>Partner</v>
      </c>
      <c r="D11" t="str">
        <v>Legal division</v>
      </c>
      <c r="E11" t="str">
        <v>Sector regulator</v>
      </c>
      <c r="F11" t="str">
        <v/>
      </c>
      <c r="G11" t="str">
        <v>v1</v>
      </c>
      <c r="H11" t="str">
        <v/>
      </c>
    </row>
    <row r="12">
      <c r="A12" t="str">
        <v>Vjun</v>
      </c>
      <c r="B12" t="str">
        <v>Support</v>
      </c>
      <c r="C12" t="str">
        <v>Packaged product</v>
      </c>
      <c r="D12" t="str">
        <v>IT department</v>
      </c>
      <c r="E12" t="str">
        <v>Outsourced payroll software</v>
      </c>
      <c r="F12" t="str">
        <v/>
      </c>
      <c r="G12" t="str">
        <v>v2</v>
      </c>
      <c r="H12" t="str">
        <v/>
      </c>
    </row>
    <row r="13">
      <c r="A13" t="str">
        <v>Crait</v>
      </c>
      <c r="B13" t="str">
        <v>Support</v>
      </c>
      <c r="C13" t="str">
        <v>Person</v>
      </c>
      <c r="D13" t="str">
        <v>Member services</v>
      </c>
      <c r="E13" t="str">
        <v>Case handling</v>
      </c>
      <c r="F13" t="str">
        <v/>
      </c>
      <c r="G13" t="str">
        <v>v1</v>
      </c>
      <c r="H13" t="str">
        <v/>
      </c>
    </row>
    <row r="14">
      <c r="A14" t="str">
        <v>Kafka</v>
      </c>
      <c r="B14" t="str">
        <v>Core</v>
      </c>
      <c r="C14" t="str">
        <v>Infrastructure</v>
      </c>
      <c r="D14" t="str">
        <v>Integration team</v>
      </c>
      <c r="E14" t="str">
        <v>Event broker</v>
      </c>
      <c r="F14" t="str">
        <v/>
      </c>
      <c r="G14" t="str">
        <v>v1</v>
      </c>
      <c r="H14" t="str">
        <v/>
      </c>
    </row>
    <row r="15">
      <c r="A15" t="str">
        <v>Dagobah</v>
      </c>
      <c r="B15" t="str">
        <v>Core</v>
      </c>
      <c r="C15" t="str">
        <v>Infrastructure</v>
      </c>
      <c r="D15" t="str">
        <v>Integration team</v>
      </c>
      <c r="E15" t="str">
        <v>Contract management gateway</v>
      </c>
      <c r="F15" t="str">
        <v/>
      </c>
      <c r="G15" t="str">
        <v>v1</v>
      </c>
      <c r="H15" t="str">
        <v/>
      </c>
    </row>
    <row r="16">
      <c r="A16" t="str">
        <v>ESB</v>
      </c>
      <c r="B16" t="str">
        <v>Support</v>
      </c>
      <c r="C16" t="str">
        <v>Infrastructure</v>
      </c>
      <c r="D16" t="str">
        <v>IT department</v>
      </c>
      <c r="E16" t="str">
        <v>Shared enterprise service bus, operated outside the platform</v>
      </c>
      <c r="F16" t="str">
        <v/>
      </c>
      <c r="G16" t="str">
        <v>v1</v>
      </c>
      <c r="H16" t="str">
        <v/>
      </c>
    </row>
    <row r="17">
      <c r="A17" t="str">
        <v>Kamino</v>
      </c>
      <c r="B17" t="str">
        <v>Core</v>
      </c>
      <c r="C17" t="str">
        <v>Object storage</v>
      </c>
      <c r="D17" t="str">
        <v>Compliance team</v>
      </c>
      <c r="E17" t="str">
        <v>Regulatory document vault</v>
      </c>
      <c r="F17" t="str">
        <v/>
      </c>
      <c r="G17" t="str">
        <v>v1</v>
      </c>
      <c r="H17" t="str">
        <v/>
      </c>
    </row>
  </sheetData>
  <dataValidations count="8">
    <dataValidation type="list" allowBlank="1" showInputMessage="1" showErrorMessage="0" promptTitle="Name" prompt="The component's name, as everyone here calls it. It becomes the reference used everywhere else: renaming it later means a find-and-replace across the whole workbook." sqref="A2:A1000">
      <formula1>L_RefActeur</formula1>
    </dataValidation>
    <dataValidation type="list" allowBlank="1" showInputMessage="1" showErrorMessage="1" promptTitle="Group" prompt="The group this component belongs to. The group carries the perimeter — Platform or External — so everything it holds follows." sqref="B2:B1000">
      <formula1>L_Groupe</formula1>
    </dataValidation>
    <dataValidation type="list" allowBlank="1" showInputMessage="1" showErrorMessage="1" promptTitle="Actor type" prompt="Declared on the ActorTypes sheet, which also gives it its icon and says whether it is business or technical." sqref="C2:C1000">
      <formula1>L_TypeActeur</formula1>
    </dataValidation>
    <dataValidation type="list" allowBlank="1" showInputMessage="1" showErrorMessage="1" promptTitle="Introduced at" prompt="A milestone from the Milestones sheet, the one this line appears at. Leave empty if it has always been there." sqref="G2:G1000">
      <formula1>L_Palier</formula1>
    </dataValidation>
    <dataValidation type="list" allowBlank="1" showInputMessage="1" showErrorMessage="1" promptTitle="Retired at" prompt="The milestone this line is gone AT: it no longer exists at that milestone. Leave empty if it is still there." sqref="H2:H1000">
      <formula1>L_Palier</formula1>
    </dataValidation>
    <dataValidation type="none" allowBlank="1" showInputMessage="1" showErrorMessage="0" promptTitle="Owner" prompt="Who to talk to about this component. Carried through to the exports, never drawn." sqref="D2:D1000"/>
    <dataValidation type="none" allowBlank="1" showInputMessage="1" showErrorMessage="0" promptTitle="Description" prompt="One or two lines, drawn inside the box on the diagrams. Longer than about 120 characters and it gets cut on the drawing." sqref="E2:E1000"/>
    <dataValidation type="none" allowBlank="1" showInputMessage="1" showErrorMessage="0" promptTitle="Comments" prompt="Anything worth keeping that has no column of its own. Carried through to the exports, never drawn." sqref="F2:F1000"/>
  </dataValidations>
  <ignoredErrors>
    <ignoredError numberStoredAsText="1" sqref="A1:H17"/>
  </ignoredErrors>
  <tableParts count="1">
    <tablePart r:id="rId1"/>
  </tableParts>
</worksheet>
</file>

<file path=xl/worksheets/sheet3.xml><?xml version="1.0" encoding="utf-8"?>
<worksheet xmlns="http://schemas.openxmlformats.org/spreadsheetml/2006/main" xmlns:r="http://schemas.openxmlformats.org/officeDocument/2006/relationships">
  <dimension ref="A1:B6"/>
  <sheetViews>
    <sheetView workbookViewId="0">
      <pane ySplit="1" topLeftCell="A2" activePane="bottomLeft" state="frozen"/>
      <selection pane="bottomLeft" activeCell="A2" sqref="A2"/>
    </sheetView>
  </sheetViews>
  <cols>
    <col min="1" max="1" width="24.83203125" customWidth="1"/>
    <col min="2" max="2" width="16.83203125" customWidth="1"/>
  </cols>
  <sheetData>
    <row r="1">
      <c r="A1" t="str" s="5">
        <v>Group</v>
      </c>
      <c r="B1" t="str" s="5">
        <v>Perimeter</v>
      </c>
    </row>
    <row r="2">
      <c r="A2" t="str">
        <v>Core</v>
      </c>
      <c r="B2" t="str">
        <v>Platform</v>
      </c>
    </row>
    <row r="3">
      <c r="A3" t="str">
        <v>Sales network</v>
      </c>
      <c r="B3" t="str">
        <v>External</v>
      </c>
    </row>
    <row r="4">
      <c r="A4" t="str">
        <v>Health partners</v>
      </c>
      <c r="B4" t="str">
        <v>External</v>
      </c>
    </row>
    <row r="5">
      <c r="A5" t="str">
        <v>Institutional</v>
      </c>
      <c r="B5" t="str">
        <v>External</v>
      </c>
    </row>
    <row r="6">
      <c r="A6" t="str">
        <v>Support</v>
      </c>
      <c r="B6" t="str">
        <v>External</v>
      </c>
    </row>
  </sheetData>
  <dataValidations count="3">
    <dataValidation type="list" allowBlank="1" showInputMessage="1" showErrorMessage="0" promptTitle="Group" prompt="The group this component belongs to. The group carries the perimeter — Platform or External — so everything it holds follows." sqref="A2:A1000">
      <formula1>L_RefGroupe</formula1>
    </dataValidation>
    <dataValidation type="list" allowBlank="1" showInputMessage="1" showErrorMessage="1" promptTitle="Perimeter" prompt="Platform for what the team owns, External for the rest. This is what decides how the group is drawn." sqref="B2:B1000">
      <formula1>L_Perimetre</formula1>
    </dataValidation>
    <dataValidation type="none" allowBlank="1" showInputMessage="1" showErrorMessage="0" promptTitle="Group" prompt="The group this component belongs to. The group carries the perimeter — Platform or External — so everything it holds follows." sqref="A2:A1000"/>
  </dataValidations>
  <ignoredErrors>
    <ignoredError numberStoredAsText="1" sqref="A1:B6"/>
  </ignoredErrors>
  <tableParts count="1">
    <tablePart r:id="rId1"/>
  </tableParts>
</worksheet>
</file>

<file path=xl/worksheets/sheet4.xml><?xml version="1.0" encoding="utf-8"?>
<worksheet xmlns="http://schemas.openxmlformats.org/spreadsheetml/2006/main" xmlns:r="http://schemas.openxmlformats.org/officeDocument/2006/relationships">
  <dimension ref="A1:F4"/>
  <sheetViews>
    <sheetView workbookViewId="0">
      <pane ySplit="1" topLeftCell="A2" activePane="bottomLeft" state="frozen"/>
      <selection pane="bottomLeft" activeCell="A2" sqref="A2"/>
    </sheetView>
  </sheetViews>
  <cols>
    <col min="1" max="1" width="14.83203125" customWidth="1"/>
    <col min="2" max="2" width="14.83203125" customWidth="1"/>
    <col min="3" max="3" width="14.83203125" customWidth="1"/>
    <col min="4" max="4" width="14.83203125" customWidth="1"/>
    <col min="5" max="5" width="14.83203125" customWidth="1"/>
    <col min="6" max="6" width="15.83203125" customWidth="1"/>
  </cols>
  <sheetData>
    <row r="1">
      <c r="A1" t="str" s="5">
        <v>Milestone</v>
      </c>
      <c r="B1" t="str" s="5">
        <v>Rank</v>
      </c>
      <c r="C1" t="str" s="5">
        <v>Label</v>
      </c>
      <c r="D1" t="str" s="5">
        <v>Status</v>
      </c>
      <c r="E1" t="str" s="5">
        <v>Date</v>
      </c>
      <c r="F1" t="str" s="5">
        <v>Description</v>
      </c>
    </row>
    <row r="2">
      <c r="A2" t="str">
        <v>v1</v>
      </c>
      <c r="B2" t="str">
        <v>1</v>
      </c>
      <c r="C2" t="str">
        <v>Initial platform</v>
      </c>
      <c r="D2" t="str">
        <v>Delivered</v>
      </c>
      <c r="E2" t="str">
        <v>2026-01-15</v>
      </c>
      <c r="F2" t="str">
        <v>Platform and policies go live</v>
      </c>
    </row>
    <row r="3">
      <c r="A3" t="str">
        <v>v2</v>
      </c>
      <c r="B3" t="str">
        <v>2</v>
      </c>
      <c r="C3" t="str">
        <v>Opening to partners</v>
      </c>
      <c r="D3" t="str">
        <v>Delivered</v>
      </c>
      <c r="E3" t="str">
        <v>2026-06-01</v>
      </c>
      <c r="F3" t="str">
        <v>Care statements and outsourced payroll</v>
      </c>
    </row>
    <row r="4">
      <c r="A4" t="str">
        <v>v3</v>
      </c>
      <c r="B4" t="str">
        <v>3</v>
      </c>
      <c r="C4" t="str">
        <v>Real time</v>
      </c>
      <c r="D4" t="str">
        <v>Planned</v>
      </c>
      <c r="E4" t="str">
        <v>2026-12-01</v>
      </c>
      <c r="F4" t="str">
        <v>Lookups move to version 2</v>
      </c>
    </row>
  </sheetData>
  <dataValidations count="6">
    <dataValidation type="none" allowBlank="1" showInputMessage="1" showErrorMessage="0" promptTitle="Milestone" prompt="The name you will use in the Introduced at and Retired at columns everywhere else. Keep it short: it is shown on every diagram." sqref="A2:A1000"/>
    <dataValidation type="none" allowBlank="1" showInputMessage="1" showErrorMessage="0" promptTitle="Rank" prompt="A whole number giving the order of milestones. It is the rank that orders the timeline, not the date." sqref="B2:B1000"/>
    <dataValidation type="none" allowBlank="1" showInputMessage="1" showErrorMessage="0" promptTitle="Label" prompt="The milestone's readable name, shown next to it in the tool." sqref="C2:C1000"/>
    <dataValidation type="none" allowBlank="1" showInputMessage="1" showErrorMessage="0" promptTitle="Status" prompt="Where this milestone stands. The default milestone shown is the delivered one with the highest rank." sqref="D2:D1000"/>
    <dataValidation type="none" allowBlank="1" showInputMessage="1" showErrorMessage="0" promptTitle="Date" prompt="When the milestone happens. Informative: it is Rank that decides the order." sqref="E2:E1000"/>
    <dataValidation type="none" allowBlank="1" showInputMessage="1" showErrorMessage="0" promptTitle="Description" prompt="One or two lines, drawn inside the box on the diagrams. Longer than about 120 characters and it gets cut on the drawing." sqref="F2:F1000"/>
  </dataValidations>
  <ignoredErrors>
    <ignoredError numberStoredAsText="1" sqref="A1:F4"/>
  </ignoredErrors>
  <tableParts count="1">
    <tablePart r:id="rId1"/>
  </tableParts>
</worksheet>
</file>

<file path=xl/worksheets/sheet5.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activeCell="A2" sqref="A2"/>
    </sheetView>
  </sheetViews>
  <cols>
    <col min="1" max="1" width="22.83203125" customWidth="1"/>
    <col min="2" max="2" width="18.83203125" customWidth="1"/>
    <col min="3" max="3" width="14.83203125" customWidth="1"/>
  </cols>
  <sheetData>
    <row r="1">
      <c r="A1" t="str" s="5">
        <v>Actor type</v>
      </c>
      <c r="B1" t="str" s="5">
        <v>Icon</v>
      </c>
      <c r="C1" t="str" s="5">
        <v>Nature</v>
      </c>
    </row>
    <row r="2">
      <c r="A2" t="str">
        <v>Application</v>
      </c>
      <c r="B2" t="str">
        <f>IFERROR(INDEX(RefActorTypes!$B:$B,MATCH($A2,RefActorTypes!$A:$A,0)),"")</f>
        <v>app-window</v>
      </c>
      <c r="C2" t="str">
        <f>IFERROR(INDEX(RefActorTypes!$C:$C,MATCH($A2,RefActorTypes!$A:$A,0)),"")</f>
        <v>Business</v>
      </c>
    </row>
    <row r="3">
      <c r="A3" t="str">
        <v>Service</v>
      </c>
      <c r="B3" t="str">
        <f>IFERROR(INDEX(RefActorTypes!$B:$B,MATCH($A3,RefActorTypes!$A:$A,0)),"")</f>
        <v>cog</v>
      </c>
      <c r="C3" t="str">
        <f>IFERROR(INDEX(RefActorTypes!$C:$C,MATCH($A3,RefActorTypes!$A:$A,0)),"")</f>
        <v>Business</v>
      </c>
    </row>
    <row r="4">
      <c r="A4" t="str">
        <v>Packaged product</v>
      </c>
      <c r="B4" t="str">
        <f>IFERROR(INDEX(RefActorTypes!$B:$B,MATCH($A4,RefActorTypes!$A:$A,0)),"")</f>
        <v>package</v>
      </c>
      <c r="C4" t="str">
        <f>IFERROR(INDEX(RefActorTypes!$C:$C,MATCH($A4,RefActorTypes!$A:$A,0)),"")</f>
        <v>Business</v>
      </c>
    </row>
    <row r="5">
      <c r="A5" t="str">
        <v>Partner</v>
      </c>
      <c r="B5" t="str">
        <f>IFERROR(INDEX(RefActorTypes!$B:$B,MATCH($A5,RefActorTypes!$A:$A,0)),"")</f>
        <v>handshake</v>
      </c>
      <c r="C5" t="str">
        <f>IFERROR(INDEX(RefActorTypes!$C:$C,MATCH($A5,RefActorTypes!$A:$A,0)),"")</f>
        <v>Business</v>
      </c>
    </row>
    <row r="6">
      <c r="A6" t="str">
        <v>Person</v>
      </c>
      <c r="B6" t="str">
        <f>IFERROR(INDEX(RefActorTypes!$B:$B,MATCH($A6,RefActorTypes!$A:$A,0)),"")</f>
        <v>user</v>
      </c>
      <c r="C6" t="str">
        <f>IFERROR(INDEX(RefActorTypes!$C:$C,MATCH($A6,RefActorTypes!$A:$A,0)),"")</f>
        <v>Business</v>
      </c>
    </row>
    <row r="7">
      <c r="A7" t="str">
        <v>Infrastructure</v>
      </c>
      <c r="B7" t="str">
        <f>IFERROR(INDEX(RefActorTypes!$B:$B,MATCH($A7,RefActorTypes!$A:$A,0)),"")</f>
        <v>server</v>
      </c>
      <c r="C7" t="str">
        <f>IFERROR(INDEX(RefActorTypes!$C:$C,MATCH($A7,RefActorTypes!$A:$A,0)),"")</f>
        <v>Middleware</v>
      </c>
    </row>
    <row r="8">
      <c r="A8" t="str">
        <v>Object storage</v>
      </c>
      <c r="B8" t="str">
        <f>IFERROR(INDEX(RefActorTypes!$B:$B,MATCH($A8,RefActorTypes!$A:$A,0)),"")</f>
        <v>database</v>
      </c>
      <c r="C8" t="str">
        <f>IFERROR(INDEX(RefActorTypes!$C:$C,MATCH($A8,RefActorTypes!$A:$A,0)),"")</f>
        <v>Storage</v>
      </c>
    </row>
  </sheetData>
  <dataValidations count="3">
    <dataValidation type="list" allowBlank="1" showInputMessage="1" showErrorMessage="0" promptTitle="Actor type" prompt="Declared on the ActorTypes sheet, which also gives it its icon and says whether it is business or technical." sqref="A2:A1000">
      <formula1>L_RefTypeActeur</formula1>
    </dataValidation>
    <dataValidation type="none" allowBlank="1" showInputMessage="1" showErrorMessage="0" promptTitle="Icon" prompt="Read from the referential for this type. Not entered here: Excel puts the formula back. Change it in the referential, then drop the referential on the tool with this workbook." sqref="B2:B1000"/>
    <dataValidation type="none" allowBlank="1" showInputMessage="1" showErrorMessage="0" promptTitle="Nature" prompt="Read from the referential. A technical type is traversed in the functional reading: its actors do not appear, and the flows through them are joined end to end. Change it in the referential, then drop the referential on the tool with this workbook." sqref="C2:C1000"/>
  </dataValidations>
  <ignoredErrors>
    <ignoredError numberStoredAsText="1" sqref="A1:C8"/>
  </ignoredErrors>
  <tableParts count="1">
    <tablePart r:id="rId1"/>
  </tableParts>
</worksheet>
</file>

<file path=xl/worksheets/sheet6.xml><?xml version="1.0" encoding="utf-8"?>
<worksheet xmlns="http://schemas.openxmlformats.org/spreadsheetml/2006/main" xmlns:r="http://schemas.openxmlformats.org/officeDocument/2006/relationships">
  <dimension ref="A1:D17"/>
  <sheetViews>
    <sheetView workbookViewId="0">
      <pane ySplit="1" topLeftCell="A2" activePane="bottomLeft" state="frozen"/>
      <selection pane="bottomLeft" activeCell="A2" sqref="A2"/>
    </sheetView>
  </sheetViews>
  <cols>
    <col min="1" max="1" width="22.83203125" customWidth="1"/>
    <col min="2" max="2" width="26.83203125" customWidth="1"/>
    <col min="3" max="3" width="62.83203125" customWidth="1"/>
    <col min="4" max="4" width="14.83203125" customWidth="1"/>
  </cols>
  <sheetData>
    <row r="1">
      <c r="A1" t="str" s="5">
        <v>Flow type</v>
      </c>
      <c r="B1" t="str" s="5">
        <v>Direction</v>
      </c>
      <c r="C1" t="str" s="5">
        <v>Description</v>
      </c>
      <c r="D1" t="str">
        <v>Colour</v>
      </c>
    </row>
    <row r="2">
      <c r="A2" t="str">
        <v>HTTP</v>
      </c>
      <c r="B2" t="str">
        <f>IFERROR(INDEX(RefTechnologies!$B:$B,MATCH($A2,RefTechnologies!$A:$A,0)),"")</f>
        <v>consumer → provider</v>
      </c>
      <c r="C2" t="str">
        <f>IFERROR(INDEX(RefTechnologies!$C:$C,MATCH($A2,RefTechnologies!$A:$A,0)),"")</f>
        <v>Direct HTTP call, REST or SOAP</v>
      </c>
      <c r="D2" t="str">
        <f>IFERROR(INDEX(RefTechnologies!$D:$D,MATCH($A2,RefTechnologies!$A:$A,0)),"")</f>
        <v/>
      </c>
    </row>
    <row r="3">
      <c r="A3" t="str">
        <v>gRPC</v>
      </c>
      <c r="B3" t="str">
        <f>IFERROR(INDEX(RefTechnologies!$B:$B,MATCH($A3,RefTechnologies!$A:$A,0)),"")</f>
        <v>consumer → provider</v>
      </c>
      <c r="C3" t="str">
        <f>IFERROR(INDEX(RefTechnologies!$C:$C,MATCH($A3,RefTechnologies!$A:$A,0)),"")</f>
        <v>Remote procedure call</v>
      </c>
      <c r="D3" t="str">
        <f>IFERROR(INDEX(RefTechnologies!$D:$D,MATCH($A3,RefTechnologies!$A:$A,0)),"")</f>
        <v/>
      </c>
    </row>
    <row r="4">
      <c r="A4" t="str">
        <v>SQL</v>
      </c>
      <c r="B4" t="str">
        <f>IFERROR(INDEX(RefTechnologies!$B:$B,MATCH($A4,RefTechnologies!$A:$A,0)),"")</f>
        <v>consumer → provider</v>
      </c>
      <c r="C4" t="str">
        <f>IFERROR(INDEX(RefTechnologies!$C:$C,MATCH($A4,RefTechnologies!$A:$A,0)),"")</f>
        <v>Direct database access</v>
      </c>
      <c r="D4" t="str">
        <f>IFERROR(INDEX(RefTechnologies!$D:$D,MATCH($A4,RefTechnologies!$A:$A,0)),"")</f>
        <v/>
      </c>
    </row>
    <row r="5">
      <c r="A5" t="str">
        <v>Kafka</v>
      </c>
      <c r="B5" t="str">
        <f>IFERROR(INDEX(RefTechnologies!$B:$B,MATCH($A5,RefTechnologies!$A:$A,0)),"")</f>
        <v>provider → consumer</v>
      </c>
      <c r="C5" t="str">
        <f>IFERROR(INDEX(RefTechnologies!$C:$C,MATCH($A5,RefTechnologies!$A:$A,0)),"")</f>
        <v>Event publication — drawn as a push from the producer</v>
      </c>
      <c r="D5" t="str">
        <f>IFERROR(INDEX(RefTechnologies!$D:$D,MATCH($A5,RefTechnologies!$A:$A,0)),"")</f>
        <v/>
      </c>
    </row>
    <row r="6">
      <c r="A6" t="str">
        <v>JMS</v>
      </c>
      <c r="B6" t="str">
        <f>IFERROR(INDEX(RefTechnologies!$B:$B,MATCH($A6,RefTechnologies!$A:$A,0)),"")</f>
        <v>provider → consumer</v>
      </c>
      <c r="C6" t="str">
        <f>IFERROR(INDEX(RefTechnologies!$C:$C,MATCH($A6,RefTechnologies!$A:$A,0)),"")</f>
        <v>Message queue — drawn as a push from the sender</v>
      </c>
      <c r="D6" t="str">
        <f>IFERROR(INDEX(RefTechnologies!$D:$D,MATCH($A6,RefTechnologies!$A:$A,0)),"")</f>
        <v/>
      </c>
    </row>
    <row r="7">
      <c r="A7" t="str">
        <v>File</v>
      </c>
      <c r="B7" t="str">
        <f>IFERROR(INDEX(RefTechnologies!$B:$B,MATCH($A7,RefTechnologies!$A:$A,0)),"")</f>
        <v>provider → consumer</v>
      </c>
      <c r="C7" t="str">
        <f>IFERROR(INDEX(RefTechnologies!$C:$C,MATCH($A7,RefTechnologies!$A:$A,0)),"")</f>
        <v>File exchange</v>
      </c>
      <c r="D7" t="str">
        <f>IFERROR(INDEX(RefTechnologies!$D:$D,MATCH($A7,RefTechnologies!$A:$A,0)),"")</f>
        <v/>
      </c>
    </row>
    <row r="8">
      <c r="A8" t="str">
        <v>SFTP</v>
      </c>
      <c r="B8" t="str">
        <f>IFERROR(INDEX(RefTechnologies!$B:$B,MATCH($A8,RefTechnologies!$A:$A,0)),"")</f>
        <v>provider → consumer</v>
      </c>
      <c r="C8" t="str">
        <f>IFERROR(INDEX(RefTechnologies!$C:$C,MATCH($A8,RefTechnologies!$A:$A,0)),"")</f>
        <v>File transfer over SSH</v>
      </c>
      <c r="D8" t="str">
        <f>IFERROR(INDEX(RefTechnologies!$D:$D,MATCH($A8,RefTechnologies!$A:$A,0)),"")</f>
        <v/>
      </c>
    </row>
    <row r="9">
      <c r="A9" t="str">
        <v>Object storage (S3)</v>
      </c>
      <c r="B9" t="str">
        <f>IFERROR(INDEX(RefTechnologies!$B:$B,MATCH($A9,RefTechnologies!$A:$A,0)),"")</f>
        <v>consumer → provider</v>
      </c>
      <c r="C9" t="str">
        <f>IFERROR(INDEX(RefTechnologies!$C:$C,MATCH($A9,RefTechnologies!$A:$A,0)),"")</f>
        <v>Read from or write to a bucket</v>
      </c>
      <c r="D9" t="str">
        <f>IFERROR(INDEX(RefTechnologies!$D:$D,MATCH($A9,RefTechnologies!$A:$A,0)),"")</f>
        <v/>
      </c>
    </row>
    <row r="10">
      <c r="A10" t="str">
        <v>LDAP</v>
      </c>
      <c r="B10" t="str">
        <f>IFERROR(INDEX(RefTechnologies!$B:$B,MATCH($A10,RefTechnologies!$A:$A,0)),"")</f>
        <v>consumer → provider</v>
      </c>
      <c r="C10" t="str">
        <f>IFERROR(INDEX(RefTechnologies!$C:$C,MATCH($A10,RefTechnologies!$A:$A,0)),"")</f>
        <v>Directory lookup</v>
      </c>
      <c r="D10" t="str">
        <f>IFERROR(INDEX(RefTechnologies!$D:$D,MATCH($A10,RefTechnologies!$A:$A,0)),"")</f>
        <v/>
      </c>
    </row>
    <row r="11">
      <c r="A11" t="str">
        <v>SMTP</v>
      </c>
      <c r="B11" t="str">
        <f>IFERROR(INDEX(RefTechnologies!$B:$B,MATCH($A11,RefTechnologies!$A:$A,0)),"")</f>
        <v>provider → consumer</v>
      </c>
      <c r="C11" t="str">
        <f>IFERROR(INDEX(RefTechnologies!$C:$C,MATCH($A11,RefTechnologies!$A:$A,0)),"")</f>
        <v>Sending email</v>
      </c>
      <c r="D11" t="str">
        <f>IFERROR(INDEX(RefTechnologies!$D:$D,MATCH($A11,RefTechnologies!$A:$A,0)),"")</f>
        <v/>
      </c>
    </row>
    <row r="12">
      <c r="A12" t="str">
        <v>Syslog</v>
      </c>
      <c r="B12" t="str">
        <f>IFERROR(INDEX(RefTechnologies!$B:$B,MATCH($A12,RefTechnologies!$A:$A,0)),"")</f>
        <v>provider → consumer</v>
      </c>
      <c r="C12" t="str">
        <f>IFERROR(INDEX(RefTechnologies!$C:$C,MATCH($A12,RefTechnologies!$A:$A,0)),"")</f>
        <v>Log shipping to a collector</v>
      </c>
      <c r="D12" t="str">
        <f>IFERROR(INDEX(RefTechnologies!$D:$D,MATCH($A12,RefTechnologies!$A:$A,0)),"")</f>
        <v/>
      </c>
    </row>
    <row r="13">
      <c r="A13" t="str">
        <v>NTP</v>
      </c>
      <c r="B13" t="str">
        <f>IFERROR(INDEX(RefTechnologies!$B:$B,MATCH($A13,RefTechnologies!$A:$A,0)),"")</f>
        <v>consumer → provider</v>
      </c>
      <c r="C13" t="str">
        <f>IFERROR(INDEX(RefTechnologies!$C:$C,MATCH($A13,RefTechnologies!$A:$A,0)),"")</f>
        <v>Time synchronisation</v>
      </c>
      <c r="D13" t="str">
        <f>IFERROR(INDEX(RefTechnologies!$D:$D,MATCH($A13,RefTechnologies!$A:$A,0)),"")</f>
        <v/>
      </c>
    </row>
    <row r="14">
      <c r="A14" t="str">
        <v>Screen entry</v>
      </c>
      <c r="B14" t="str">
        <f>IFERROR(INDEX(RefTechnologies!$B:$B,MATCH($A14,RefTechnologies!$A:$A,0)),"")</f>
        <v>consumer → provider</v>
      </c>
      <c r="C14" t="str">
        <f>IFERROR(INDEX(RefTechnologies!$C:$C,MATCH($A14,RefTechnologies!$A:$A,0)),"")</f>
        <v>Human entry on a screen the provider exposes</v>
      </c>
      <c r="D14" t="str">
        <f>IFERROR(INDEX(RefTechnologies!$D:$D,MATCH($A14,RefTechnologies!$A:$A,0)),"")</f>
        <v/>
      </c>
    </row>
    <row r="15">
      <c r="A15" t="str">
        <v>Screen lookup</v>
      </c>
      <c r="B15" t="str">
        <f>IFERROR(INDEX(RefTechnologies!$B:$B,MATCH($A15,RefTechnologies!$A:$A,0)),"")</f>
        <v>provider → consumer</v>
      </c>
      <c r="C15" t="str">
        <f>IFERROR(INDEX(RefTechnologies!$C:$C,MATCH($A15,RefTechnologies!$A:$A,0)),"")</f>
        <v>Human reading on a screen the provider exposes</v>
      </c>
      <c r="D15" t="str">
        <f>IFERROR(INDEX(RefTechnologies!$D:$D,MATCH($A15,RefTechnologies!$A:$A,0)),"")</f>
        <v/>
      </c>
    </row>
    <row r="16">
      <c r="A16" t="str">
        <v>Manual</v>
      </c>
      <c r="B16" t="str">
        <f>IFERROR(INDEX(RefTechnologies!$B:$B,MATCH($A16,RefTechnologies!$A:$A,0)),"")</f>
        <v>provider → consumer</v>
      </c>
      <c r="C16" t="str">
        <f>IFERROR(INDEX(RefTechnologies!$C:$C,MATCH($A16,RefTechnologies!$A:$A,0)),"")</f>
        <v>Human hand-off, outside any system</v>
      </c>
      <c r="D16" t="str">
        <f>IFERROR(INDEX(RefTechnologies!$D:$D,MATCH($A16,RefTechnologies!$A:$A,0)),"")</f>
        <v/>
      </c>
    </row>
    <row r="17">
      <c r="A17" t="str">
        <v>Proprietary</v>
      </c>
      <c r="B17" t="str">
        <f>IFERROR(INDEX(RefTechnologies!$B:$B,MATCH($A17,RefTechnologies!$A:$A,0)),"")</f>
        <v>consumer → provider</v>
      </c>
      <c r="C17" t="str">
        <f>IFERROR(INDEX(RefTechnologies!$C:$C,MATCH($A17,RefTechnologies!$A:$A,0)),"")</f>
        <v>Protocol specific to a packaged product</v>
      </c>
      <c r="D17" t="str">
        <f>IFERROR(INDEX(RefTechnologies!$D:$D,MATCH($A17,RefTechnologies!$A:$A,0)),"")</f>
        <v/>
      </c>
    </row>
  </sheetData>
  <dataValidations count="4">
    <dataValidation type="list" allowBlank="1" showInputMessage="1" showErrorMessage="0" promptTitle="Flow type" prompt="The technology this interface travels over. Declared on the FlowTypes sheet, which also sets which way the arrow is drawn." sqref="A2:A1000">
      <formula1>L_RefTypeFlux</formula1>
    </dataValidation>
    <dataValidation type="none" allowBlank="1" showInputMessage="1" showErrorMessage="0" promptTitle="Direction" prompt="Read from the referential: which way the arrow is drawn for this technology, on every diagram. Change it in the referential, then drop the referential on the tool with this workbook." sqref="B2:B1000"/>
    <dataValidation type="none" allowBlank="1" showInputMessage="1" showErrorMessage="0" promptTitle="Description" prompt="Read from the referential." sqref="C2:C1000"/>
    <dataValidation type="none" allowBlank="1" showInputMessage="1" showErrorMessage="0" promptTitle="Colour" prompt="Read from the referential, in hexadecimal. Empty, the palette picks one." sqref="D2:D1000"/>
  </dataValidations>
  <ignoredErrors>
    <ignoredError numberStoredAsText="1" sqref="A1:D17"/>
  </ignoredErrors>
  <tableParts count="1">
    <tablePart r:id="rId1"/>
  </tableParts>
</worksheet>
</file>

<file path=xl/worksheets/sheet7.xml><?xml version="1.0" encoding="utf-8"?>
<worksheet xmlns="http://schemas.openxmlformats.org/spreadsheetml/2006/main" xmlns:r="http://schemas.openxmlformats.org/officeDocument/2006/relationships">
  <dimension ref="A1:K19"/>
  <sheetViews>
    <sheetView workbookViewId="0">
      <pane ySplit="1" topLeftCell="A2" activePane="bottomLeft" state="frozen"/>
      <selection pane="bottomLeft" activeCell="A2" sqref="A2"/>
    </sheetView>
  </sheetViews>
  <cols>
    <col min="1" max="1" width="18.83203125" customWidth="1"/>
    <col min="2" max="2" width="18.83203125" customWidth="1"/>
    <col min="3" max="3" width="18.83203125" customWidth="1"/>
    <col min="4" max="4" width="18.83203125" customWidth="1"/>
    <col min="5" max="5" width="18.83203125" customWidth="1"/>
    <col min="6" max="6" width="18.83203125" customWidth="1"/>
    <col min="7" max="7" width="22.83203125" customWidth="1"/>
    <col min="8" max="8" width="18.83203125" customWidth="1"/>
    <col min="9" max="9" width="18.83203125" customWidth="1"/>
    <col min="10" max="10" width="18.83203125" customWidth="1"/>
    <col min="11" max="11" width="18.83203125" customWidth="1"/>
  </cols>
  <sheetData>
    <row r="1">
      <c r="A1" t="str" s="5">
        <v>Flow name</v>
      </c>
      <c r="B1" t="str" s="5">
        <v>Version</v>
      </c>
      <c r="C1" t="str" s="5">
        <v>Provider</v>
      </c>
      <c r="D1" t="str" s="5">
        <v>Flow type</v>
      </c>
      <c r="E1" t="str" s="5">
        <v>Description</v>
      </c>
      <c r="F1" t="str" s="5">
        <v>Contract link</v>
      </c>
      <c r="G1" t="str" s="5">
        <v>Contract reference</v>
      </c>
      <c r="H1" t="str" s="5">
        <v>Comments</v>
      </c>
      <c r="I1" t="str" s="5">
        <v>To confirm</v>
      </c>
      <c r="J1" t="str" s="5">
        <v>Introduced at</v>
      </c>
      <c r="K1" t="str" s="5">
        <v>Retired at</v>
      </c>
    </row>
    <row r="2">
      <c r="A2" t="str">
        <v>Member lookup</v>
      </c>
      <c r="B2" t="str">
        <v>1.0</v>
      </c>
      <c r="C2" t="str">
        <v>Takodana</v>
      </c>
      <c r="D2" t="str">
        <v>HTTP</v>
      </c>
      <c r="E2" t="str">
        <v>Reading a member record</v>
      </c>
      <c r="F2" t="str">
        <v>https://contrats.interne/adherent</v>
      </c>
      <c r="G2" t="str">
        <v>CTR-ADH-01</v>
      </c>
      <c r="H2" t="str">
        <v/>
      </c>
      <c r="I2" t="str">
        <v>No</v>
      </c>
      <c r="J2" t="str">
        <v>v1</v>
      </c>
      <c r="K2" t="str">
        <v>v3</v>
      </c>
    </row>
    <row r="3">
      <c r="A3" t="str">
        <v>Member lookup</v>
      </c>
      <c r="B3" t="str">
        <v>2.0</v>
      </c>
      <c r="C3" t="str">
        <v>Takodana</v>
      </c>
      <c r="D3" t="str">
        <v>HTTP</v>
      </c>
      <c r="E3" t="str">
        <v>Reading a member record, enriched format</v>
      </c>
      <c r="F3" t="str">
        <v>https://contrats.interne/adherent-v2</v>
      </c>
      <c r="G3" t="str">
        <v>CTR-ADH-01</v>
      </c>
      <c r="H3" t="str">
        <v/>
      </c>
      <c r="I3" t="str">
        <v>No</v>
      </c>
      <c r="J3" t="str">
        <v>v2</v>
      </c>
      <c r="K3" t="str">
        <v/>
      </c>
    </row>
    <row r="4">
      <c r="A4" t="str">
        <v>Premium calculation</v>
      </c>
      <c r="B4" t="str">
        <v>1.0</v>
      </c>
      <c r="C4" t="str">
        <v>Sullust</v>
      </c>
      <c r="D4" t="str">
        <v>HTTP</v>
      </c>
      <c r="E4" t="str">
        <v>Premium computed from a profile</v>
      </c>
      <c r="F4" t="str">
        <v>https://contrats.interne/cotisation</v>
      </c>
      <c r="G4" t="str">
        <v>CTR-COT-02</v>
      </c>
      <c r="H4" t="str">
        <v/>
      </c>
      <c r="I4" t="str">
        <v>No</v>
      </c>
      <c r="J4" t="str">
        <v>v1</v>
      </c>
      <c r="K4" t="str">
        <v/>
      </c>
    </row>
    <row r="5">
      <c r="A5" t="str">
        <v>Subscription</v>
      </c>
      <c r="B5" t="str">
        <v>1.0</v>
      </c>
      <c r="C5" t="str">
        <v>Chandrila</v>
      </c>
      <c r="D5" t="str">
        <v>HTTP</v>
      </c>
      <c r="E5" t="str">
        <v>Creating and amending a policy</v>
      </c>
      <c r="F5" t="str">
        <v>https://contrats.interne/souscription</v>
      </c>
      <c r="G5" t="str">
        <v>CTR-SOU-03</v>
      </c>
      <c r="H5" t="str">
        <v/>
      </c>
      <c r="I5" t="str">
        <v>No</v>
      </c>
      <c r="J5" t="str">
        <v>v1</v>
      </c>
      <c r="K5" t="str">
        <v/>
      </c>
    </row>
    <row r="6">
      <c r="A6" t="str">
        <v>Policy events</v>
      </c>
      <c r="B6" t="str">
        <v>1.0</v>
      </c>
      <c r="C6" t="str">
        <v>Chandrila</v>
      </c>
      <c r="D6" t="str">
        <v>Kafka</v>
      </c>
      <c r="E6" t="str">
        <v>Publishing policy changes</v>
      </c>
      <c r="F6" t="str">
        <v>https://contrats.interne/vie-contrat</v>
      </c>
      <c r="G6" t="str">
        <v>CTR-VIE-04</v>
      </c>
      <c r="H6" t="str">
        <v/>
      </c>
      <c r="I6" t="str">
        <v>No</v>
      </c>
      <c r="J6" t="str">
        <v>v1</v>
      </c>
      <c r="K6" t="str">
        <v/>
      </c>
    </row>
    <row r="7">
      <c r="A7" t="str">
        <v>Raw statement</v>
      </c>
      <c r="B7" t="str">
        <v>1.0</v>
      </c>
      <c r="C7" t="str">
        <v>Ilum</v>
      </c>
      <c r="D7" t="str">
        <v>File</v>
      </c>
      <c r="E7" t="str">
        <v>Statement file dropped by the care facility</v>
      </c>
      <c r="F7" t="str">
        <v>https://contrats.interne/decompte-brut</v>
      </c>
      <c r="G7" t="str">
        <v>CTR-DEC-05</v>
      </c>
      <c r="H7" t="str">
        <v/>
      </c>
      <c r="I7" t="str">
        <v>No</v>
      </c>
      <c r="J7" t="str">
        <v>v1</v>
      </c>
      <c r="K7" t="str">
        <v/>
      </c>
    </row>
    <row r="8">
      <c r="A8" t="str">
        <v>Care statement</v>
      </c>
      <c r="B8" t="str">
        <v>1.0</v>
      </c>
      <c r="C8" t="str">
        <v>Malastare</v>
      </c>
      <c r="D8" t="str">
        <v>File</v>
      </c>
      <c r="E8" t="str">
        <v>Statements normalised for the policy system</v>
      </c>
      <c r="F8" t="str">
        <v>https://contrats.interne/decompte</v>
      </c>
      <c r="G8" t="str">
        <v>CTR-DEC-06</v>
      </c>
      <c r="H8" t="str">
        <v/>
      </c>
      <c r="I8" t="str">
        <v>No</v>
      </c>
      <c r="J8" t="str">
        <v>v1</v>
      </c>
      <c r="K8" t="str">
        <v/>
      </c>
    </row>
    <row r="9">
      <c r="A9" t="str">
        <v>Policy stream</v>
      </c>
      <c r="B9" t="str">
        <v>1.0</v>
      </c>
      <c r="C9" t="str">
        <v>Malastare</v>
      </c>
      <c r="D9" t="str">
        <v>Kafka</v>
      </c>
      <c r="E9" t="str">
        <v>Policy changes republished to partners</v>
      </c>
      <c r="F9" t="str">
        <v>https://contrats.interne/flux-contrat</v>
      </c>
      <c r="G9" t="str">
        <v>CTR-VIE-10</v>
      </c>
      <c r="H9" t="str">
        <v/>
      </c>
      <c r="I9" t="str">
        <v>No</v>
      </c>
      <c r="J9" t="str">
        <v>v1</v>
      </c>
      <c r="K9" t="str">
        <v/>
      </c>
    </row>
    <row r="10">
      <c r="A10" t="str">
        <v>Supporting documents</v>
      </c>
      <c r="B10" t="str">
        <v>1.0</v>
      </c>
      <c r="C10" t="str">
        <v>Onderon</v>
      </c>
      <c r="D10" t="str">
        <v>SFTP</v>
      </c>
      <c r="E10" t="str">
        <v>Documents delivered for archiving</v>
      </c>
      <c r="F10" t="str">
        <v>https://contrats.interne/pieces</v>
      </c>
      <c r="G10" t="str">
        <v>CTR-PIE-06</v>
      </c>
      <c r="H10" t="str">
        <v/>
      </c>
      <c r="I10" t="str">
        <v>No</v>
      </c>
      <c r="J10" t="str">
        <v>v1</v>
      </c>
      <c r="K10" t="str">
        <v/>
      </c>
    </row>
    <row r="11">
      <c r="A11" t="str">
        <v>Member mail</v>
      </c>
      <c r="B11" t="str">
        <v>1.0</v>
      </c>
      <c r="C11" t="str">
        <v>Rodia</v>
      </c>
      <c r="D11" t="str">
        <v>SMTP</v>
      </c>
      <c r="E11" t="str">
        <v>Emails sent to members</v>
      </c>
      <c r="F11" t="str">
        <v>https://contrats.interne/courrier</v>
      </c>
      <c r="G11" t="str">
        <v>CTR-COU-07</v>
      </c>
      <c r="H11" t="str">
        <v/>
      </c>
      <c r="I11" t="str">
        <v>No</v>
      </c>
      <c r="J11" t="str">
        <v>v1</v>
      </c>
      <c r="K11" t="str">
        <v/>
      </c>
    </row>
    <row r="12">
      <c r="A12" t="str">
        <v>Daily statements</v>
      </c>
      <c r="B12" t="str">
        <v>1.0</v>
      </c>
      <c r="C12" t="str">
        <v>Chandrila</v>
      </c>
      <c r="D12" t="str">
        <v>File</v>
      </c>
      <c r="E12" t="str">
        <v>Daily statement file dropped for archiving</v>
      </c>
      <c r="F12" t="str">
        <v>https://contrats.interne/releves</v>
      </c>
      <c r="G12" t="str">
        <v>CTR-REL-16</v>
      </c>
      <c r="H12" t="str">
        <v/>
      </c>
      <c r="I12" t="str">
        <v>No</v>
      </c>
      <c r="J12" t="str">
        <v>v1</v>
      </c>
      <c r="K12" t="str">
        <v/>
      </c>
    </row>
    <row r="13">
      <c r="A13" t="str">
        <v>Regulatory return</v>
      </c>
      <c r="B13" t="str">
        <v>1.0</v>
      </c>
      <c r="C13" t="str">
        <v>Onderon</v>
      </c>
      <c r="D13" t="str">
        <v>File</v>
      </c>
      <c r="E13" t="str">
        <v>Periodic extract for the regulator</v>
      </c>
      <c r="F13" t="str">
        <v>https://contrats.interne/etat</v>
      </c>
      <c r="G13" t="str">
        <v>CTR-ETA-08</v>
      </c>
      <c r="H13" t="str">
        <v>Scope to confirm</v>
      </c>
      <c r="I13" t="str">
        <v>Yes</v>
      </c>
      <c r="J13" t="str">
        <v>v1</v>
      </c>
      <c r="K13" t="str">
        <v/>
      </c>
    </row>
    <row r="14">
      <c r="A14" t="str">
        <v>Payslips</v>
      </c>
      <c r="B14" t="str">
        <v>1.0</v>
      </c>
      <c r="C14" t="str">
        <v>Vjun</v>
      </c>
      <c r="D14" t="str">
        <v>SFTP</v>
      </c>
      <c r="E14" t="str">
        <v>Monthly payslip delivery</v>
      </c>
      <c r="F14" t="str">
        <v>https://contrats.interne/paie</v>
      </c>
      <c r="G14" t="str">
        <v>CTR-PAI-09</v>
      </c>
      <c r="H14" t="str">
        <v/>
      </c>
      <c r="I14" t="str">
        <v>No</v>
      </c>
      <c r="J14" t="str">
        <v>v2</v>
      </c>
      <c r="K14" t="str">
        <v/>
      </c>
    </row>
    <row r="15">
      <c r="A15" t="str">
        <v>Policy notice</v>
      </c>
      <c r="B15" t="str">
        <v>1.0</v>
      </c>
      <c r="C15" t="str">
        <v>Chandrila</v>
      </c>
      <c r="D15" t="str">
        <v>Kafka</v>
      </c>
      <c r="E15" t="str">
        <v>Policy change notice for the sales network</v>
      </c>
      <c r="F15" t="str">
        <v>https://contrats.interne/avis</v>
      </c>
      <c r="G15" t="str">
        <v>CTR-AVI-11</v>
      </c>
      <c r="H15" t="str">
        <v/>
      </c>
      <c r="I15" t="str">
        <v>No</v>
      </c>
      <c r="J15" t="str">
        <v>v1</v>
      </c>
      <c r="K15" t="str">
        <v/>
      </c>
    </row>
    <row r="16">
      <c r="A16" t="str">
        <v>notice.stream</v>
      </c>
      <c r="B16" t="str">
        <v>1.0</v>
      </c>
      <c r="C16" t="str">
        <v>Kafka</v>
      </c>
      <c r="D16" t="str">
        <v>Kafka</v>
      </c>
      <c r="E16" t="str">
        <v>Notices republished on the broker topic</v>
      </c>
      <c r="F16" t="str">
        <v>https://contrats.interne/avis-topic</v>
      </c>
      <c r="G16" t="str">
        <v>CTR-AVI-12</v>
      </c>
      <c r="H16" t="str">
        <v/>
      </c>
      <c r="I16" t="str">
        <v>No</v>
      </c>
      <c r="J16" t="str">
        <v>v1</v>
      </c>
      <c r="K16" t="str">
        <v/>
      </c>
    </row>
    <row r="17">
      <c r="A17" t="str">
        <v>notice.norm</v>
      </c>
      <c r="B17" t="str">
        <v>1.0</v>
      </c>
      <c r="C17" t="str">
        <v>Dagobah</v>
      </c>
      <c r="D17" t="str">
        <v>HTTP</v>
      </c>
      <c r="E17" t="str">
        <v>Notices normalised to the partner contract</v>
      </c>
      <c r="F17" t="str">
        <v>https://contrats.interne/avis-norme</v>
      </c>
      <c r="G17" t="str">
        <v>CTR-AVI-13</v>
      </c>
      <c r="H17" t="str">
        <v/>
      </c>
      <c r="I17" t="str">
        <v>No</v>
      </c>
      <c r="J17" t="str">
        <v>v1</v>
      </c>
      <c r="K17" t="str">
        <v/>
      </c>
    </row>
    <row r="18">
      <c r="A18" t="str">
        <v>notice.out</v>
      </c>
      <c r="B18" t="str">
        <v>1.0</v>
      </c>
      <c r="C18" t="str">
        <v>ESB</v>
      </c>
      <c r="D18" t="str">
        <v>SFTP</v>
      </c>
      <c r="E18" t="str">
        <v>Notices delivered to the broker network</v>
      </c>
      <c r="F18" t="str">
        <v>https://contrats.interne/avis-sortie</v>
      </c>
      <c r="G18" t="str">
        <v>CTR-AVI-14</v>
      </c>
      <c r="H18" t="str">
        <v/>
      </c>
      <c r="I18" t="str">
        <v>No</v>
      </c>
      <c r="J18" t="str">
        <v>v1</v>
      </c>
      <c r="K18" t="str">
        <v/>
      </c>
    </row>
    <row r="19">
      <c r="A19" t="str">
        <v>events.core</v>
      </c>
      <c r="B19" t="str">
        <v>1.0</v>
      </c>
      <c r="C19" t="str">
        <v>Kafka</v>
      </c>
      <c r="D19" t="str">
        <v>Kafka</v>
      </c>
      <c r="E19" t="str">
        <v>Policy events republished for the platform</v>
      </c>
      <c r="F19" t="str">
        <v>https://contrats.interne/vie-socle</v>
      </c>
      <c r="G19" t="str">
        <v>CTR-VIE-15</v>
      </c>
      <c r="H19" t="str">
        <v/>
      </c>
      <c r="I19" t="str">
        <v>No</v>
      </c>
      <c r="J19" t="str">
        <v>v1</v>
      </c>
      <c r="K19" t="str">
        <v/>
      </c>
    </row>
  </sheetData>
  <dataValidations count="11">
    <dataValidation type="list" allowBlank="1" showInputMessage="1" showErrorMessage="1" promptTitle="Provider" prompt="The actor that PROVIDES this interface. It is what tells two interfaces of the same name apart, and it decides which FX_ sheet holds the consumptions." sqref="C2:C1000">
      <formula1>L_Acteur</formula1>
    </dataValidation>
    <dataValidation type="list" allowBlank="1" showInputMessage="1" showErrorMessage="1" promptTitle="Flow type" prompt="The technology this interface travels over. Declared on the FlowTypes sheet, which also sets which way the arrow is drawn." sqref="D2:D1000">
      <formula1>L_TypeFlux</formula1>
    </dataValidation>
    <dataValidation type="list" allowBlank="1" showInputMessage="1" showErrorMessage="1" promptTitle="To confirm" prompt="Yes when the interface is not certain. The report lists these separately so nothing gets asserted by mistake." sqref="I2:I1000">
      <formula1>L_Confirmation</formula1>
    </dataValidation>
    <dataValidation type="list" allowBlank="1" showInputMessage="1" showErrorMessage="1" promptTitle="Introduced at" prompt="A milestone from the Milestones sheet, the one this line appears at. Leave empty if it has always been there." sqref="J2:J1000">
      <formula1>L_Palier</formula1>
    </dataValidation>
    <dataValidation type="list" allowBlank="1" showInputMessage="1" showErrorMessage="1" promptTitle="Retired at" prompt="The milestone this line is gone AT: it no longer exists at that milestone. Leave empty if it is still there." sqref="K2:K1000">
      <formula1>L_Palier</formula1>
    </dataValidation>
    <dataValidation type="none" allowBlank="1" showInputMessage="1" showErrorMessage="0" promptTitle="Interface" prompt="An interface exposed by this sheet's provider. Declare it on the Interfaces sheet first." sqref="A2:A1000"/>
    <dataValidation type="none" allowBlank="1" showInputMessage="1" showErrorMessage="0" promptTitle="Version" prompt="The contract's version, in whatever form your team uses. Free text: it is (provider, flow name, version) that identifies an interface, so two versions of one flow are two lines here." sqref="B2:B1000"/>
    <dataValidation type="none" allowBlank="1" showInputMessage="1" showErrorMessage="0" promptTitle="Description" prompt="One or two lines, drawn inside the box on the diagrams. Longer than about 120 characters and it gets cut on the drawing." sqref="E2:E1000"/>
    <dataValidation type="none" allowBlank="1" showInputMessage="1" showErrorMessage="0" promptTitle="Contract link" prompt="A URL to the contract or its documentation. It becomes a clickable link on the exported diagrams." sqref="F2:F1000"/>
    <dataValidation type="none" allowBlank="1" showInputMessage="1" showErrorMessage="0" promptTitle="Contract reference" prompt="The contract's reference in whatever registry holds it. Free text." sqref="G2:G1000"/>
    <dataValidation type="none" allowBlank="1" showInputMessage="1" showErrorMessage="0" promptTitle="Comments" prompt="Anything worth keeping that has no column of its own. Carried through to the exports, never drawn." sqref="H2:H1000"/>
  </dataValidations>
  <ignoredErrors>
    <ignoredError numberStoredAsText="1" sqref="A1:K19"/>
  </ignoredErrors>
  <tableParts count="1">
    <tablePart r:id="rId1"/>
  </tableParts>
</worksheet>
</file>

<file path=xl/worksheets/sheet8.xml><?xml version="1.0" encoding="utf-8"?>
<worksheet xmlns="http://schemas.openxmlformats.org/spreadsheetml/2006/main" xmlns:r="http://schemas.openxmlformats.org/officeDocument/2006/relationships">
  <dimension ref="A1:L5"/>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Member lookup</v>
      </c>
      <c r="B2" t="str">
        <v>2.0</v>
      </c>
      <c r="C2" t="str">
        <v>Chandrila</v>
      </c>
      <c r="D2" t="str">
        <v>Checking entitlement before subscribing</v>
      </c>
      <c r="E2" t="str">
        <v>1 - Critical</v>
      </c>
      <c r="F2" t="str">
        <v>Keep</v>
      </c>
      <c r="G2" t="str">
        <v/>
      </c>
      <c r="H2" t="str">
        <v/>
      </c>
      <c r="I2" t="str">
        <v>v2</v>
      </c>
      <c r="J2" t="str">
        <v/>
      </c>
    </row>
    <row r="3">
      <c r="A3" t="str">
        <v>Member lookup</v>
      </c>
      <c r="B3" t="str">
        <v>2.0</v>
      </c>
      <c r="C3" t="str">
        <v>Rodia</v>
      </c>
      <c r="D3" t="str">
        <v>Displaying the member account</v>
      </c>
      <c r="E3" t="str">
        <v>1 - Critical</v>
      </c>
      <c r="F3" t="str">
        <v>Keep</v>
      </c>
      <c r="G3" t="str">
        <v/>
      </c>
      <c r="H3" t="str">
        <v/>
      </c>
      <c r="I3" t="str">
        <v>v2</v>
      </c>
      <c r="J3" t="str">
        <v/>
      </c>
    </row>
    <row r="4">
      <c r="A4" t="str">
        <v>Member lookup</v>
      </c>
      <c r="B4" t="str">
        <v>1.0</v>
      </c>
      <c r="C4" t="str">
        <v>Zeffo</v>
      </c>
      <c r="D4" t="str">
        <v>Pre-filling the journey</v>
      </c>
      <c r="E4" t="str">
        <v>2 - Important</v>
      </c>
      <c r="F4" t="str">
        <v>Keep</v>
      </c>
      <c r="G4" t="str">
        <v/>
      </c>
      <c r="H4" t="str">
        <v/>
      </c>
      <c r="I4" t="str">
        <v>v1</v>
      </c>
      <c r="J4" t="str">
        <v/>
      </c>
    </row>
    <row r="5">
      <c r="A5" t="str">
        <v>Member lookup</v>
      </c>
      <c r="B5" t="str">
        <v>1.0</v>
      </c>
      <c r="C5" t="str">
        <v>Crait</v>
      </c>
      <c r="D5" t="str">
        <v>Lookup during a call</v>
      </c>
      <c r="E5" t="str">
        <v>2 - Important</v>
      </c>
      <c r="F5" t="str">
        <v>Keep</v>
      </c>
      <c r="G5" t="str">
        <v/>
      </c>
      <c r="H5" t="str">
        <v/>
      </c>
      <c r="I5" t="str">
        <v>v1</v>
      </c>
      <c r="J5"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5"/>
  </ignoredErrors>
  <tableParts count="1">
    <tablePart r:id="rId1"/>
  </tableParts>
</worksheet>
</file>

<file path=xl/worksheets/sheet9.xml><?xml version="1.0" encoding="utf-8"?>
<worksheet xmlns="http://schemas.openxmlformats.org/spreadsheetml/2006/main" xmlns:r="http://schemas.openxmlformats.org/officeDocument/2006/relationships">
  <dimension ref="A1:L4"/>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Premium calculation</v>
      </c>
      <c r="B2" t="str">
        <v>1.0</v>
      </c>
      <c r="C2" t="str">
        <v>Chandrila</v>
      </c>
      <c r="D2" t="str">
        <v>Premium carried onto the policy</v>
      </c>
      <c r="E2" t="str">
        <v>1 - Critical</v>
      </c>
      <c r="F2" t="str">
        <v>Keep</v>
      </c>
      <c r="G2" t="str">
        <v/>
      </c>
      <c r="H2" t="str">
        <v/>
      </c>
      <c r="I2" t="str">
        <v>v1</v>
      </c>
      <c r="J2" t="str">
        <v/>
      </c>
    </row>
    <row r="3">
      <c r="A3" t="str">
        <v>Premium calculation</v>
      </c>
      <c r="B3" t="str">
        <v>1.0</v>
      </c>
      <c r="C3" t="str">
        <v>Zeffo</v>
      </c>
      <c r="D3" t="str">
        <v>Online quote</v>
      </c>
      <c r="E3" t="str">
        <v>2 - Important</v>
      </c>
      <c r="F3" t="str">
        <v>Keep</v>
      </c>
      <c r="G3" t="str">
        <v/>
      </c>
      <c r="H3" t="str">
        <v/>
      </c>
      <c r="I3" t="str">
        <v>v1</v>
      </c>
      <c r="J3" t="str">
        <v/>
      </c>
    </row>
    <row r="4">
      <c r="A4" t="str">
        <v>Premium calculation</v>
      </c>
      <c r="B4" t="str">
        <v>1.0</v>
      </c>
      <c r="C4" t="str">
        <v>Bracca</v>
      </c>
      <c r="D4" t="str">
        <v>Quote shown to the client</v>
      </c>
      <c r="E4" t="str">
        <v>2 - Important</v>
      </c>
      <c r="F4" t="str">
        <v>Keep</v>
      </c>
      <c r="G4" t="str">
        <v/>
      </c>
      <c r="H4" t="str">
        <v/>
      </c>
      <c r="I4" t="str">
        <v>v1</v>
      </c>
      <c r="J4"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4"/>
  </ignoredErrors>
  <tableParts count="1">
    <tablePart r:id="rId1"/>
  </tableParts>
</worksheet>
</file>

<file path=xl/worksheets/sheet10.xml><?xml version="1.0" encoding="utf-8"?>
<worksheet xmlns="http://schemas.openxmlformats.org/spreadsheetml/2006/main" xmlns:r="http://schemas.openxmlformats.org/officeDocument/2006/relationships">
  <dimension ref="A1:L3"/>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Subscription</v>
      </c>
      <c r="B2" t="str">
        <v>1.0</v>
      </c>
      <c r="C2" t="str">
        <v>Zeffo</v>
      </c>
      <c r="D2" t="str">
        <v>Subscribing from the website</v>
      </c>
      <c r="E2" t="str">
        <v>1 - Critical</v>
      </c>
      <c r="F2" t="str">
        <v>Keep</v>
      </c>
      <c r="G2" t="str">
        <v/>
      </c>
      <c r="H2" t="str">
        <v/>
      </c>
      <c r="I2" t="str">
        <v>v1</v>
      </c>
      <c r="J2" t="str">
        <v/>
      </c>
    </row>
    <row r="3">
      <c r="A3" t="str">
        <v>Subscription</v>
      </c>
      <c r="B3" t="str">
        <v>1.0</v>
      </c>
      <c r="C3" t="str">
        <v>Bracca</v>
      </c>
      <c r="D3" t="str">
        <v>Subscribing through the network</v>
      </c>
      <c r="E3" t="str">
        <v>1 - Critical</v>
      </c>
      <c r="F3" t="str">
        <v>Keep</v>
      </c>
      <c r="G3" t="str">
        <v/>
      </c>
      <c r="H3" t="str">
        <v/>
      </c>
      <c r="I3" t="str">
        <v>v1</v>
      </c>
      <c r="J3"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3"/>
  </ignoredErrors>
  <tableParts count="1">
    <tablePart r:id="rId1"/>
  </tableParts>
</worksheet>
</file>

<file path=xl/worksheets/sheet11.xml><?xml version="1.0" encoding="utf-8"?>
<worksheet xmlns="http://schemas.openxmlformats.org/spreadsheetml/2006/main" xmlns:r="http://schemas.openxmlformats.org/officeDocument/2006/relationships">
  <dimension ref="A1:L6"/>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Policy events</v>
      </c>
      <c r="B2" t="str">
        <v>1.0</v>
      </c>
      <c r="C2" t="str">
        <v>Malastare</v>
      </c>
      <c r="D2" t="str">
        <v>Broadcast to internal applications</v>
      </c>
      <c r="E2" t="str">
        <v>1 - Critical</v>
      </c>
      <c r="F2" t="str">
        <v>Keep</v>
      </c>
      <c r="G2" t="str">
        <v/>
      </c>
      <c r="H2" t="str">
        <v>Policy stream 1.0</v>
      </c>
      <c r="I2" t="str">
        <v>v1</v>
      </c>
      <c r="J2" t="str">
        <v/>
      </c>
    </row>
    <row r="3">
      <c r="A3" t="str">
        <v>Policy events</v>
      </c>
      <c r="B3" t="str">
        <v>1.0</v>
      </c>
      <c r="C3" t="str">
        <v>Onderon</v>
      </c>
      <c r="D3" t="str">
        <v>Archiving amendments</v>
      </c>
      <c r="E3" t="str">
        <v>3 - Standard</v>
      </c>
      <c r="F3" t="str">
        <v>Keep</v>
      </c>
      <c r="G3" t="str">
        <v/>
      </c>
      <c r="H3" t="str">
        <v/>
      </c>
      <c r="I3" t="str">
        <v>v1</v>
      </c>
      <c r="J3" t="str">
        <v/>
      </c>
    </row>
    <row r="4">
      <c r="A4" t="str">
        <v>Policy notice</v>
      </c>
      <c r="B4" t="str">
        <v>1.0</v>
      </c>
      <c r="C4" t="str">
        <v>Kafka</v>
      </c>
      <c r="D4" t="str">
        <v>Publishing on the broker</v>
      </c>
      <c r="E4" t="str">
        <v>2 - Important</v>
      </c>
      <c r="F4" t="str">
        <v>Keep</v>
      </c>
      <c r="G4" t="str">
        <v/>
      </c>
      <c r="H4" t="str">
        <v>notice.stream 1.0</v>
      </c>
      <c r="I4" t="str">
        <v>v1</v>
      </c>
      <c r="J4" t="str">
        <v/>
      </c>
    </row>
    <row r="5">
      <c r="A5" t="str">
        <v>Policy events</v>
      </c>
      <c r="B5" t="str">
        <v>1.0</v>
      </c>
      <c r="C5" t="str">
        <v>Kafka</v>
      </c>
      <c r="D5" t="str">
        <v>Republishing for the platform</v>
      </c>
      <c r="E5" t="str">
        <v>2 - Important</v>
      </c>
      <c r="F5" t="str">
        <v>Keep</v>
      </c>
      <c r="G5" t="str">
        <v/>
      </c>
      <c r="H5" t="str">
        <v>events.core 1.0</v>
      </c>
      <c r="I5" t="str">
        <v>v1</v>
      </c>
      <c r="J5" t="str">
        <v/>
      </c>
    </row>
    <row r="6">
      <c r="A6" t="str">
        <v>Policy events</v>
      </c>
      <c r="B6" t="str">
        <v>1.0</v>
      </c>
      <c r="C6" t="str">
        <v>Rodia</v>
      </c>
      <c r="D6" t="str">
        <v>Refreshing the portal</v>
      </c>
      <c r="E6" t="str">
        <v>2 - Important</v>
      </c>
      <c r="F6" t="str">
        <v>Keep</v>
      </c>
      <c r="G6" t="str">
        <v/>
      </c>
      <c r="H6" t="str">
        <v/>
      </c>
      <c r="I6" t="str">
        <v>v1</v>
      </c>
      <c r="J6"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6"/>
  </ignoredErrors>
  <tableParts count="1">
    <tablePart r:id="rId1"/>
  </tableParts>
</worksheet>
</file>

<file path=xl/worksheets/sheet12.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Care statement</v>
      </c>
      <c r="B2" t="str">
        <v>1.0</v>
      </c>
      <c r="C2" t="str">
        <v>Chandrila</v>
      </c>
      <c r="D2" t="str">
        <v>Reimbursing members</v>
      </c>
      <c r="E2" t="str">
        <v>1 - Critical</v>
      </c>
      <c r="F2" t="str">
        <v>Keep</v>
      </c>
      <c r="G2" t="str">
        <v/>
      </c>
      <c r="H2" t="str">
        <v/>
      </c>
      <c r="I2" t="str">
        <v>v1</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13.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Raw statement</v>
      </c>
      <c r="B2" t="str">
        <v>1.0</v>
      </c>
      <c r="C2" t="str">
        <v>Malastare</v>
      </c>
      <c r="D2" t="str">
        <v>Picking up the partner drop</v>
      </c>
      <c r="E2" t="str">
        <v>2 - Important</v>
      </c>
      <c r="F2" t="str">
        <v>Keep</v>
      </c>
      <c r="G2" t="str">
        <v/>
      </c>
      <c r="H2" t="str">
        <v>Care statement 1.0</v>
      </c>
      <c r="I2" t="str">
        <v>v1</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14.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Policy stream</v>
      </c>
      <c r="B2" t="str">
        <v>1.0</v>
      </c>
      <c r="C2" t="str">
        <v>Ilum</v>
      </c>
      <c r="D2" t="str">
        <v>Following the policies it handles</v>
      </c>
      <c r="E2" t="str">
        <v>2 - Important</v>
      </c>
      <c r="F2" t="str">
        <v>Keep</v>
      </c>
      <c r="G2" t="str">
        <v/>
      </c>
      <c r="H2" t="str">
        <v/>
      </c>
      <c r="I2" t="str">
        <v>v1</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15.xml><?xml version="1.0" encoding="utf-8"?>
<worksheet xmlns="http://schemas.openxmlformats.org/spreadsheetml/2006/main" xmlns:r="http://schemas.openxmlformats.org/officeDocument/2006/relationships">
  <dimension ref="A1:L4"/>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Supporting documents</v>
      </c>
      <c r="B2" t="str">
        <v>1.0</v>
      </c>
      <c r="C2" t="str">
        <v>Chandrila</v>
      </c>
      <c r="D2" t="str">
        <v>Dropping subscription documents</v>
      </c>
      <c r="E2" t="str">
        <v>2 - Important</v>
      </c>
      <c r="F2" t="str">
        <v>Keep</v>
      </c>
      <c r="G2" t="str">
        <v/>
      </c>
      <c r="H2" t="str">
        <v/>
      </c>
      <c r="I2" t="str">
        <v>v1</v>
      </c>
      <c r="J2" t="str">
        <v/>
      </c>
    </row>
    <row r="3">
      <c r="A3" t="str">
        <v>Supporting documents</v>
      </c>
      <c r="B3" t="str">
        <v>1.0</v>
      </c>
      <c r="C3" t="str">
        <v>Rodia</v>
      </c>
      <c r="D3" t="str">
        <v>Dropping documents filed online</v>
      </c>
      <c r="E3" t="str">
        <v>2 - Important</v>
      </c>
      <c r="F3" t="str">
        <v>Keep</v>
      </c>
      <c r="G3" t="str">
        <v/>
      </c>
      <c r="H3" t="str">
        <v/>
      </c>
      <c r="I3" t="str">
        <v>v1</v>
      </c>
      <c r="J3" t="str">
        <v/>
      </c>
    </row>
    <row r="4">
      <c r="A4" t="str">
        <v>Supporting documents</v>
      </c>
      <c r="B4" t="str">
        <v>1.0</v>
      </c>
      <c r="C4" t="str">
        <v>Crait</v>
      </c>
      <c r="D4" t="str">
        <v>Manual drop, replaced by the portal</v>
      </c>
      <c r="E4" t="str">
        <v>3 - Standard</v>
      </c>
      <c r="F4" t="str">
        <v>Transform</v>
      </c>
      <c r="G4" t="str">
        <v/>
      </c>
      <c r="H4" t="str">
        <v/>
      </c>
      <c r="I4" t="str">
        <v>v1</v>
      </c>
      <c r="J4"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4"/>
  </ignoredErrors>
  <tableParts count="1">
    <tablePart r:id="rId1"/>
  </tableParts>
</worksheet>
</file>

<file path=xl/worksheets/sheet16.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Daily statements</v>
      </c>
      <c r="B2" t="str">
        <v>1.0</v>
      </c>
      <c r="C2" t="str">
        <v>Kamino</v>
      </c>
      <c r="D2" t="str">
        <v>Long-term archiving</v>
      </c>
      <c r="E2" t="str">
        <v>3 - Standard</v>
      </c>
      <c r="F2" t="str">
        <v>Keep</v>
      </c>
      <c r="G2" t="str">
        <v/>
      </c>
      <c r="H2" t="str">
        <v/>
      </c>
      <c r="I2" t="str">
        <v>v1</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1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Member mail</v>
      </c>
      <c r="B2" t="str">
        <v>1.0</v>
      </c>
      <c r="C2" t="str">
        <v>Crait</v>
      </c>
      <c r="D2" t="str">
        <v>Copy of the mail sent</v>
      </c>
      <c r="E2" t="str">
        <v>3 - Standard</v>
      </c>
      <c r="F2" t="str">
        <v>Keep</v>
      </c>
      <c r="G2" t="str">
        <v/>
      </c>
      <c r="H2" t="str">
        <v/>
      </c>
      <c r="I2" t="str">
        <v>v1</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18.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Regulatory return</v>
      </c>
      <c r="B2" t="str">
        <v>1.0</v>
      </c>
      <c r="C2" t="str">
        <v>Serenno</v>
      </c>
      <c r="D2" t="str">
        <v>Quarterly regulatory filing</v>
      </c>
      <c r="E2" t="str">
        <v>1 - Critical</v>
      </c>
      <c r="F2" t="str">
        <v>Keep</v>
      </c>
      <c r="G2" t="str">
        <v/>
      </c>
      <c r="H2" t="str">
        <v/>
      </c>
      <c r="I2" t="str">
        <v>v1</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19.xml><?xml version="1.0" encoding="utf-8"?>
<worksheet xmlns="http://schemas.openxmlformats.org/spreadsheetml/2006/main" xmlns:r="http://schemas.openxmlformats.org/officeDocument/2006/relationships">
  <dimension ref="A1:L3"/>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notice.stream</v>
      </c>
      <c r="B2" t="str">
        <v>1.0</v>
      </c>
      <c r="C2" t="str">
        <v>Dagobah</v>
      </c>
      <c r="D2" t="str">
        <v>Routing to the contract gateway</v>
      </c>
      <c r="E2" t="str">
        <v>2 - Important</v>
      </c>
      <c r="F2" t="str">
        <v>Keep</v>
      </c>
      <c r="G2" t="str">
        <v/>
      </c>
      <c r="H2" t="str">
        <v>notice.norm 1.0</v>
      </c>
      <c r="I2" t="str">
        <v>v1</v>
      </c>
      <c r="J2" t="str">
        <v/>
      </c>
    </row>
    <row r="3">
      <c r="A3" t="str">
        <v>events.core</v>
      </c>
      <c r="B3" t="str">
        <v>1.0</v>
      </c>
      <c r="C3" t="str">
        <v>Takodana</v>
      </c>
      <c r="D3" t="str">
        <v>Refreshing the member record on a policy change</v>
      </c>
      <c r="E3" t="str">
        <v>2 - Important</v>
      </c>
      <c r="F3" t="str">
        <v>Keep</v>
      </c>
      <c r="G3" t="str">
        <v/>
      </c>
      <c r="H3" t="str">
        <v/>
      </c>
      <c r="I3" t="str">
        <v>v1</v>
      </c>
      <c r="J3"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3"/>
  </ignoredErrors>
  <tableParts count="1">
    <tablePart r:id="rId1"/>
  </tableParts>
</worksheet>
</file>

<file path=xl/worksheets/sheet20.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notice.norm</v>
      </c>
      <c r="B2" t="str">
        <v>1.0</v>
      </c>
      <c r="C2" t="str">
        <v>ESB</v>
      </c>
      <c r="D2" t="str">
        <v>Handing over to the shared bus</v>
      </c>
      <c r="E2" t="str">
        <v>2 - Important</v>
      </c>
      <c r="F2" t="str">
        <v>Keep</v>
      </c>
      <c r="G2" t="str">
        <v/>
      </c>
      <c r="H2" t="str">
        <v>notice.out 1.0</v>
      </c>
      <c r="I2" t="str">
        <v>v1</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21.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notice.out</v>
      </c>
      <c r="B2" t="str">
        <v>1.0</v>
      </c>
      <c r="C2" t="str">
        <v>Bracca</v>
      </c>
      <c r="D2" t="str">
        <v>Receiving policy notices</v>
      </c>
      <c r="E2" t="str">
        <v>2 - Important</v>
      </c>
      <c r="F2" t="str">
        <v>Keep</v>
      </c>
      <c r="G2" t="str">
        <v/>
      </c>
      <c r="H2" t="str">
        <v/>
      </c>
      <c r="I2" t="str">
        <v>v1</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22.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cols>
    <col min="1" max="1" width="16.83203125" customWidth="1"/>
    <col min="2" max="2" width="16.83203125" customWidth="1"/>
    <col min="3" max="3" width="16.83203125" customWidth="1"/>
    <col min="4" max="4" width="16.83203125" customWidth="1"/>
    <col min="5" max="5" width="33.83203125" customWidth="1"/>
    <col min="6" max="6" width="16.83203125" customWidth="1"/>
    <col min="7" max="7" width="16.83203125" customWidth="1"/>
    <col min="8" max="8" width="18.83203125" customWidth="1"/>
    <col min="9" max="9" width="17.83203125" customWidth="1"/>
    <col min="10" max="10" width="16.83203125" customWidth="1"/>
    <col min="11" max="11" width="10.83203125" customWidth="1"/>
    <col min="12" max="12" width="10.83203125" customWidth="1" hidden="true"/>
  </cols>
  <sheetData>
    <row r="1">
      <c r="A1" t="str" s="5">
        <v>Flow name</v>
      </c>
      <c r="B1" t="str" s="5">
        <v>Version</v>
      </c>
      <c r="C1" t="str" s="5">
        <v>Consumer</v>
      </c>
      <c r="D1" t="str" s="5">
        <v>Usage</v>
      </c>
      <c r="E1" t="str" s="5">
        <v>Criticality for this consumer</v>
      </c>
      <c r="F1" t="str" s="5">
        <v>Decision</v>
      </c>
      <c r="G1" t="str" s="5">
        <v>Comments</v>
      </c>
      <c r="H1" t="str" s="5">
        <v>Republished as</v>
      </c>
      <c r="I1" t="str" s="5">
        <v>Introduced at</v>
      </c>
      <c r="J1" t="str" s="5">
        <v>Retired at</v>
      </c>
      <c r="L1" t="str">
        <f>MID(CELL("filename",$A$1),FIND("]",CELL("filename",$A$1))+1,255)</f>
        <v/>
      </c>
    </row>
    <row r="2">
      <c r="A2" t="str">
        <v>Payslips</v>
      </c>
      <c r="B2" t="str">
        <v>1.0</v>
      </c>
      <c r="C2" t="str">
        <v>Onderon</v>
      </c>
      <c r="D2" t="str">
        <v>Archiving payslips</v>
      </c>
      <c r="E2" t="str">
        <v>3 - Standard</v>
      </c>
      <c r="F2" t="str">
        <v>Keep</v>
      </c>
      <c r="G2" t="str">
        <v/>
      </c>
      <c r="H2" t="str">
        <v/>
      </c>
      <c r="I2" t="str">
        <v>v2</v>
      </c>
      <c r="J2" t="str">
        <v/>
      </c>
    </row>
  </sheetData>
  <dataValidations count="10">
    <dataValidation type="list" allowBlank="1" showInputMessage="1" showErrorMessage="1" promptTitle="Interface" prompt="An interface exposed by this sheet's provider. Declare it on the Interfaces sheet first." sqref="A2:A1000">
      <formula1>OFFSET(Lists!$N$2,MATCH($L$1,Lists!$M$2:$M$1018,0)-1,0,MAX(1,COUNTIF(Lists!$M$2:$M$1018,$L$1)),1)</formula1>
    </dataValidation>
    <dataValidation type="list" allowBlank="1" showInputMessage="1" showErrorMessage="1" promptTitle="Version" prompt="Fill in Flow name first: the versions offered are the ones declared for that interface." sqref="B2:B1000">
      <formula1>OFFSET(Lists!$K$2,MATCH($L$1&amp;"|"&amp;$A2,Lists!$J$2:$J$1018,0)-1,0,MAX(1,COUNTIF(Lists!$J$2:$J$1018,$L$1&amp;"|"&amp;$A2)),1)</formula1>
    </dataValidation>
    <dataValidation type="list" allowBlank="1" showInputMessage="1" showErrorMessage="1" promptTitle="Consumer" prompt="The actor that consumes this interface. One line per consumer: an interface consumed by four actors has four lines." sqref="C2:C1000">
      <formula1>L_Acteur</formula1>
    </dataValidation>
    <dataValidation type="list" allowBlank="1" showInputMessage="1" showErrorMessage="1" promptTitle="Criticality" prompt="How critical this flow is for THIS consumer, not in general. The same interface may be vital to one and secondary to another." sqref="E2:E1000">
      <formula1>L_Criticite</formula1>
    </dataValidation>
    <dataValidation type="list" allowBlank="1" showInputMessage="1" showErrorMessage="1" promptTitle="Decision" prompt="What has been decided for this consumption. Remove is a deprecation warning, not a retirement: retirement is the Retired at column." sqref="F2:F1000">
      <formula1>L_Decision</formula1>
    </dataValidation>
    <dataValidation type="list" allowBlank="1" showInputMessage="1" showErrorMessage="1" promptTitle="Republished as" prompt="Fill in only when the consumer is a technical actor: which of ITS OWN interfaces republishes this flow. Several lines pointing at the same interface is how a bus aggregates." sqref="H2:H1000">
      <formula1>OFFSET(Lists!$Q$2,MATCH($C2,Lists!$P$2:$P$1018,0)-1,0,MAX(1,COUNTIF(Lists!$P$2:$P$1018,$C2)),1)</formula1>
    </dataValidation>
    <dataValidation type="list" allowBlank="1" showInputMessage="1" showErrorMessage="1" promptTitle="Introduced at" prompt="A milestone from the Milestones sheet, the one this line appears at. Leave empty if it has always been there." sqref="I2:I1000">
      <formula1>L_Palier</formula1>
    </dataValidation>
    <dataValidation type="list" allowBlank="1" showInputMessage="1" showErrorMessage="1" promptTitle="Retired at" prompt="The milestone this line is gone AT: it no longer exists at that milestone. Leave empty if it is still there." sqref="J2:J1000">
      <formula1>L_Palier</formula1>
    </dataValidation>
    <dataValidation type="none" allowBlank="1" showInputMessage="1" showErrorMessage="0" promptTitle="Usage" prompt="What THIS consumer does with the flow. Two consumers of the same interface rarely use it for the same thing." sqref="D2:D1000"/>
    <dataValidation type="none" allowBlank="1" showInputMessage="1" showErrorMessage="0" promptTitle="Comments" prompt="Anything worth keeping that has no column of its own. Carried through to the exports, never drawn." sqref="G2:G1000"/>
  </dataValidations>
  <ignoredErrors>
    <ignoredError numberStoredAsText="1" sqref="A1:L2"/>
  </ignoredErrors>
  <tableParts count="1">
    <tablePart r:id="rId1"/>
  </tableParts>
</worksheet>
</file>

<file path=xl/worksheets/sheet23.xml><?xml version="1.0" encoding="utf-8"?>
<worksheet xmlns="http://schemas.openxmlformats.org/spreadsheetml/2006/main" xmlns:r="http://schemas.openxmlformats.org/officeDocument/2006/relationships">
  <dimension ref="A1:Q1018"/>
  <sheetViews>
    <sheetView workbookViewId="0"/>
  </sheetViews>
  <cols>
    <col min="1" max="1" width="16.83203125" customWidth="1"/>
    <col min="2" max="2" width="16.83203125" customWidth="1"/>
    <col min="3" max="3" width="16.83203125" customWidth="1"/>
    <col min="4" max="4" width="16.83203125" customWidth="1"/>
    <col min="5" max="5" width="16.83203125" customWidth="1"/>
    <col min="6" max="6" width="16.83203125" customWidth="1"/>
    <col min="7" max="7" width="16.83203125" customWidth="1"/>
    <col min="8" max="8" width="16.83203125" customWidth="1"/>
  </cols>
  <sheetData>
    <row r="1">
      <c r="A1" t="str">
        <v>Perimeter</v>
      </c>
      <c r="B1" t="str">
        <v>Direction</v>
      </c>
      <c r="C1" t="str">
        <v>Decision</v>
      </c>
      <c r="D1" t="str">
        <v>Criticality</v>
      </c>
      <c r="E1" t="str">
        <v>Confirmation</v>
      </c>
      <c r="F1" t="str">
        <v>Nature</v>
      </c>
      <c r="G1" t="str">
        <v>Icon</v>
      </c>
      <c r="H1" t="str">
        <v>Preview</v>
      </c>
      <c r="J1" t="str">
        <v>Flow version key</v>
      </c>
      <c r="K1" t="str">
        <v>Flow version</v>
      </c>
      <c r="M1" t="str">
        <v>Flow sheet</v>
      </c>
      <c r="N1" t="str">
        <v>Flow name</v>
      </c>
      <c r="P1" t="str">
        <v>Provider actor</v>
      </c>
      <c r="Q1" t="str">
        <v>Published interface</v>
      </c>
    </row>
    <row r="2">
      <c r="A2" t="str">
        <v>Platform</v>
      </c>
      <c r="B2" t="str">
        <v>provider → consumer</v>
      </c>
      <c r="C2" t="str">
        <v>Keep</v>
      </c>
      <c r="D2" t="str">
        <v>1 - Critical</v>
      </c>
      <c r="E2" t="str">
        <v>Yes</v>
      </c>
      <c r="F2" t="str">
        <v>Business</v>
      </c>
      <c r="G2" t="str">
        <v>app-window</v>
      </c>
      <c r="H2" t="str">
        <v>🪟</v>
      </c>
      <c r="J2" t="str">
        <f t="array" ref="J2:K1018">IFERROR(INDEX(_xlfn._xlws.SORT(_xlfn._xlws.FILTER(_xlfn.HSTACK(LEFT(SUBSTITUTE(SUBSTITUTE(SUBSTITUTE(SUBSTITUTE(SUBSTITUTE(SUBSTITUTE(SUBSTITUTE("FX_"&amp;Interfaces!$C$2:$C$1018&amp;"_"&amp;Interfaces!$D$2:$D$1018,":","-"),"\","-"),"/","-"),"?","-"),"*","-"),"[","-"),"]","-"),31)&amp;"|"&amp;Interfaces!$A$2:$A$1018,Interfaces!$B$2:$B$1018),Interfaces!$A$2:$A$1018&lt;&gt;""),1,1),_xlfn.SEQUENCE(1017),{1,2}),"")</f>
        <v/>
      </c>
      <c r="M2" t="str">
        <f t="array" ref="M2:N1018">IFERROR(INDEX(_xlfn._xlws.SORT(_xlfn.UNIQUE(_xlfn._xlws.FILTER(_xlfn.HSTACK(LEFT(SUBSTITUTE(SUBSTITUTE(SUBSTITUTE(SUBSTITUTE(SUBSTITUTE(SUBSTITUTE(SUBSTITUTE("FX_"&amp;Interfaces!$C$2:$C$1018&amp;"_"&amp;Interfaces!$D$2:$D$1018,":","-"),"\","-"),"/","-"),"?","-"),"*","-"),"[","-"),"]","-"),31),Interfaces!$A$2:$A$1018),Interfaces!$A$2:$A$1018&lt;&gt;"")),1,1),_xlfn.SEQUENCE(1017),{1,2}),"")</f>
        <v/>
      </c>
      <c r="P2" t="str">
        <f t="array" ref="P2:Q1018">IFERROR(INDEX(_xlfn._xlws.SORT(_xlfn.UNIQUE(_xlfn._xlws.FILTER(_xlfn.HSTACK(Interfaces!$C$2:$C$1018,Interfaces!$A$2:$A$1018&amp;IF(Interfaces!$B$2:$B$1018="",""," ")&amp;Interfaces!$B$2:$B$1018),Interfaces!$A$2:$A$1018&lt;&gt;"")),1,1),_xlfn.SEQUENCE(1017),{1,2}),"")</f>
        <v/>
      </c>
    </row>
    <row r="3">
      <c r="A3" t="str">
        <v>External</v>
      </c>
      <c r="B3" t="str">
        <v>consumer → provider</v>
      </c>
      <c r="C3" t="str">
        <v>Investigate</v>
      </c>
      <c r="D3" t="str">
        <v>2 - Important</v>
      </c>
      <c r="E3" t="str">
        <v>No</v>
      </c>
      <c r="F3" t="str">
        <v>Middleware</v>
      </c>
      <c r="G3" t="str">
        <v>bot</v>
      </c>
      <c r="H3" t="str">
        <v>🤖</v>
      </c>
    </row>
    <row r="4">
      <c r="A4" t="str">
        <v/>
      </c>
      <c r="B4" t="str">
        <v/>
      </c>
      <c r="C4" t="str">
        <v>Transform</v>
      </c>
      <c r="D4" t="str">
        <v>3 - Standard</v>
      </c>
      <c r="E4" t="str">
        <v/>
      </c>
      <c r="F4" t="str">
        <v>Storage</v>
      </c>
      <c r="G4" t="str">
        <v>box</v>
      </c>
      <c r="H4" t="str">
        <v>🧰</v>
      </c>
    </row>
    <row r="5">
      <c r="A5" t="str">
        <v/>
      </c>
      <c r="B5" t="str">
        <v/>
      </c>
      <c r="C5" t="str">
        <v>Remove</v>
      </c>
      <c r="D5" t="str">
        <v/>
      </c>
      <c r="E5" t="str">
        <v/>
      </c>
      <c r="F5" t="str">
        <v/>
      </c>
      <c r="G5" t="str">
        <v>building-2</v>
      </c>
      <c r="H5" t="str">
        <v>🏢</v>
      </c>
    </row>
    <row r="6">
      <c r="A6" t="str">
        <v/>
      </c>
      <c r="B6" t="str">
        <v/>
      </c>
      <c r="C6" t="str">
        <v/>
      </c>
      <c r="D6" t="str">
        <v/>
      </c>
      <c r="E6" t="str">
        <v/>
      </c>
      <c r="F6" t="str">
        <v/>
      </c>
      <c r="G6" t="str">
        <v>cloud</v>
      </c>
      <c r="H6" t="str">
        <v>☁️</v>
      </c>
    </row>
    <row r="7">
      <c r="A7" t="str">
        <v/>
      </c>
      <c r="B7" t="str">
        <v/>
      </c>
      <c r="C7" t="str">
        <v/>
      </c>
      <c r="D7" t="str">
        <v/>
      </c>
      <c r="E7" t="str">
        <v/>
      </c>
      <c r="F7" t="str">
        <v/>
      </c>
      <c r="G7" t="str">
        <v>cog</v>
      </c>
      <c r="H7" t="str">
        <v>⚙️</v>
      </c>
    </row>
    <row r="8">
      <c r="A8" t="str">
        <v/>
      </c>
      <c r="B8" t="str">
        <v/>
      </c>
      <c r="C8" t="str">
        <v/>
      </c>
      <c r="D8" t="str">
        <v/>
      </c>
      <c r="E8" t="str">
        <v/>
      </c>
      <c r="F8" t="str">
        <v/>
      </c>
      <c r="G8" t="str">
        <v>database</v>
      </c>
      <c r="H8" t="str">
        <v>🗃️</v>
      </c>
    </row>
    <row r="9">
      <c r="A9" t="str">
        <v/>
      </c>
      <c r="B9" t="str">
        <v/>
      </c>
      <c r="C9" t="str">
        <v/>
      </c>
      <c r="D9" t="str">
        <v/>
      </c>
      <c r="E9" t="str">
        <v/>
      </c>
      <c r="F9" t="str">
        <v/>
      </c>
      <c r="G9" t="str">
        <v>file-text</v>
      </c>
      <c r="H9" t="str">
        <v>📄</v>
      </c>
    </row>
    <row r="10">
      <c r="A10" t="str">
        <v/>
      </c>
      <c r="B10" t="str">
        <v/>
      </c>
      <c r="C10" t="str">
        <v/>
      </c>
      <c r="D10" t="str">
        <v/>
      </c>
      <c r="E10" t="str">
        <v/>
      </c>
      <c r="F10" t="str">
        <v/>
      </c>
      <c r="G10" t="str">
        <v>globe</v>
      </c>
      <c r="H10" t="str">
        <v>🌐</v>
      </c>
    </row>
    <row r="11">
      <c r="A11" t="str">
        <v/>
      </c>
      <c r="B11" t="str">
        <v/>
      </c>
      <c r="C11" t="str">
        <v/>
      </c>
      <c r="D11" t="str">
        <v/>
      </c>
      <c r="E11" t="str">
        <v/>
      </c>
      <c r="F11" t="str">
        <v/>
      </c>
      <c r="G11" t="str">
        <v>handshake</v>
      </c>
      <c r="H11" t="str">
        <v>🤝</v>
      </c>
    </row>
    <row r="12">
      <c r="A12" t="str">
        <v/>
      </c>
      <c r="B12" t="str">
        <v/>
      </c>
      <c r="C12" t="str">
        <v/>
      </c>
      <c r="D12" t="str">
        <v/>
      </c>
      <c r="E12" t="str">
        <v/>
      </c>
      <c r="F12" t="str">
        <v/>
      </c>
      <c r="G12" t="str">
        <v>hard-drive</v>
      </c>
      <c r="H12" t="str">
        <v>💽</v>
      </c>
    </row>
    <row r="13">
      <c r="A13" t="str">
        <v/>
      </c>
      <c r="B13" t="str">
        <v/>
      </c>
      <c r="C13" t="str">
        <v/>
      </c>
      <c r="D13" t="str">
        <v/>
      </c>
      <c r="E13" t="str">
        <v/>
      </c>
      <c r="F13" t="str">
        <v/>
      </c>
      <c r="G13" t="str">
        <v>key</v>
      </c>
      <c r="H13" t="str">
        <v>🔑</v>
      </c>
    </row>
    <row r="14">
      <c r="A14" t="str">
        <v/>
      </c>
      <c r="B14" t="str">
        <v/>
      </c>
      <c r="C14" t="str">
        <v/>
      </c>
      <c r="D14" t="str">
        <v/>
      </c>
      <c r="E14" t="str">
        <v/>
      </c>
      <c r="F14" t="str">
        <v/>
      </c>
      <c r="G14" t="str">
        <v>layers</v>
      </c>
      <c r="H14" t="str">
        <v>🗂️</v>
      </c>
    </row>
    <row r="15">
      <c r="A15" t="str">
        <v/>
      </c>
      <c r="B15" t="str">
        <v/>
      </c>
      <c r="C15" t="str">
        <v/>
      </c>
      <c r="D15" t="str">
        <v/>
      </c>
      <c r="E15" t="str">
        <v/>
      </c>
      <c r="F15" t="str">
        <v/>
      </c>
      <c r="G15" t="str">
        <v>mail</v>
      </c>
      <c r="H15" t="str">
        <v>✉️</v>
      </c>
    </row>
    <row r="16">
      <c r="A16" t="str">
        <v/>
      </c>
      <c r="B16" t="str">
        <v/>
      </c>
      <c r="C16" t="str">
        <v/>
      </c>
      <c r="D16" t="str">
        <v/>
      </c>
      <c r="E16" t="str">
        <v/>
      </c>
      <c r="F16" t="str">
        <v/>
      </c>
      <c r="G16" t="str">
        <v>monitor</v>
      </c>
      <c r="H16" t="str">
        <v>🖥️</v>
      </c>
    </row>
    <row r="17">
      <c r="A17" t="str">
        <v/>
      </c>
      <c r="B17" t="str">
        <v/>
      </c>
      <c r="C17" t="str">
        <v/>
      </c>
      <c r="D17" t="str">
        <v/>
      </c>
      <c r="E17" t="str">
        <v/>
      </c>
      <c r="F17" t="str">
        <v/>
      </c>
      <c r="G17" t="str">
        <v>network</v>
      </c>
      <c r="H17" t="str">
        <v>🕸️</v>
      </c>
    </row>
    <row r="18">
      <c r="A18" t="str">
        <v/>
      </c>
      <c r="B18" t="str">
        <v/>
      </c>
      <c r="C18" t="str">
        <v/>
      </c>
      <c r="D18" t="str">
        <v/>
      </c>
      <c r="E18" t="str">
        <v/>
      </c>
      <c r="F18" t="str">
        <v/>
      </c>
      <c r="G18" t="str">
        <v>package</v>
      </c>
      <c r="H18" t="str">
        <v>📦</v>
      </c>
    </row>
    <row r="19">
      <c r="A19" t="str">
        <v/>
      </c>
      <c r="B19" t="str">
        <v/>
      </c>
      <c r="C19" t="str">
        <v/>
      </c>
      <c r="D19" t="str">
        <v/>
      </c>
      <c r="E19" t="str">
        <v/>
      </c>
      <c r="F19" t="str">
        <v/>
      </c>
      <c r="G19" t="str">
        <v>printer</v>
      </c>
      <c r="H19" t="str">
        <v>🖨️</v>
      </c>
    </row>
    <row r="20">
      <c r="A20" t="str">
        <v/>
      </c>
      <c r="B20" t="str">
        <v/>
      </c>
      <c r="C20" t="str">
        <v/>
      </c>
      <c r="D20" t="str">
        <v/>
      </c>
      <c r="E20" t="str">
        <v/>
      </c>
      <c r="F20" t="str">
        <v/>
      </c>
      <c r="G20" t="str">
        <v>server</v>
      </c>
      <c r="H20" t="str">
        <v>🗄️</v>
      </c>
    </row>
    <row r="21">
      <c r="A21" t="str">
        <v/>
      </c>
      <c r="B21" t="str">
        <v/>
      </c>
      <c r="C21" t="str">
        <v/>
      </c>
      <c r="D21" t="str">
        <v/>
      </c>
      <c r="E21" t="str">
        <v/>
      </c>
      <c r="F21" t="str">
        <v/>
      </c>
      <c r="G21" t="str">
        <v>shield</v>
      </c>
      <c r="H21" t="str">
        <v>🛡️</v>
      </c>
    </row>
    <row r="22">
      <c r="A22" t="str">
        <v/>
      </c>
      <c r="B22" t="str">
        <v/>
      </c>
      <c r="C22" t="str">
        <v/>
      </c>
      <c r="D22" t="str">
        <v/>
      </c>
      <c r="E22" t="str">
        <v/>
      </c>
      <c r="F22" t="str">
        <v/>
      </c>
      <c r="G22" t="str">
        <v>smartphone</v>
      </c>
      <c r="H22" t="str">
        <v>📱</v>
      </c>
    </row>
    <row r="23">
      <c r="A23" t="str">
        <v/>
      </c>
      <c r="B23" t="str">
        <v/>
      </c>
      <c r="C23" t="str">
        <v/>
      </c>
      <c r="D23" t="str">
        <v/>
      </c>
      <c r="E23" t="str">
        <v/>
      </c>
      <c r="F23" t="str">
        <v/>
      </c>
      <c r="G23" t="str">
        <v>terminal</v>
      </c>
      <c r="H23" t="str">
        <v>⌨️</v>
      </c>
    </row>
    <row r="24">
      <c r="A24" t="str">
        <v/>
      </c>
      <c r="B24" t="str">
        <v/>
      </c>
      <c r="C24" t="str">
        <v/>
      </c>
      <c r="D24" t="str">
        <v/>
      </c>
      <c r="E24" t="str">
        <v/>
      </c>
      <c r="F24" t="str">
        <v/>
      </c>
      <c r="G24" t="str">
        <v>user</v>
      </c>
      <c r="H24" t="str">
        <v>👤</v>
      </c>
    </row>
    <row r="25">
      <c r="A25" t="str">
        <v/>
      </c>
      <c r="B25" t="str">
        <v/>
      </c>
      <c r="C25" t="str">
        <v/>
      </c>
      <c r="D25" t="str">
        <v/>
      </c>
      <c r="E25" t="str">
        <v/>
      </c>
      <c r="F25" t="str">
        <v/>
      </c>
      <c r="G25" t="str">
        <v>users</v>
      </c>
      <c r="H25" t="str">
        <v>👥</v>
      </c>
    </row>
    <row r="26">
      <c r="A26" t="str">
        <v/>
      </c>
      <c r="B26" t="str">
        <v/>
      </c>
      <c r="C26" t="str">
        <v/>
      </c>
      <c r="D26" t="str">
        <v/>
      </c>
      <c r="E26" t="str">
        <v/>
      </c>
      <c r="F26" t="str">
        <v/>
      </c>
      <c r="G26" t="str">
        <v>workflow</v>
      </c>
      <c r="H26" t="str">
        <v>🔀</v>
      </c>
    </row>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sheetData>
  <ignoredErrors>
    <ignoredError numberStoredAsText="1" sqref="A1:Q1018"/>
  </ignoredErrors>
  <tableParts count="8">
    <tablePart r:id="rId1"/>
    <tablePart r:id="rId2"/>
    <tablePart r:id="rId3"/>
    <tablePart r:id="rId4"/>
    <tablePart r:id="rId5"/>
    <tablePart r:id="rId6"/>
    <tablePart r:id="rId7"/>
    <tablePart r:id="rId8"/>
  </tableParts>
</worksheet>
</file>

<file path=xl/worksheets/sheet24.xml><?xml version="1.0" encoding="utf-8"?>
<worksheet xmlns="http://schemas.openxmlformats.org/spreadsheetml/2006/main" xmlns:r="http://schemas.openxmlformats.org/officeDocument/2006/relationships">
  <dimension ref="A1:E17"/>
  <sheetViews>
    <sheetView workbookViewId="0"/>
  </sheetViews>
  <cols>
    <col min="1" max="1" width="20.83203125" customWidth="1"/>
    <col min="2" max="2" width="20.83203125" customWidth="1"/>
    <col min="3" max="3" width="20.83203125" customWidth="1"/>
    <col min="4" max="4" width="20.83203125" customWidth="1"/>
    <col min="5" max="5" width="20.83203125" customWidth="1"/>
  </cols>
  <sheetData>
    <row r="1">
      <c r="A1" t="str">
        <v>Name</v>
      </c>
      <c r="B1" t="str">
        <v>Group</v>
      </c>
      <c r="C1" t="str">
        <v>Actor type</v>
      </c>
      <c r="D1" t="str">
        <v>Owner</v>
      </c>
      <c r="E1" t="str">
        <v>Description</v>
      </c>
    </row>
    <row r="2">
      <c r="A2" t="str">
        <v>Chandrila</v>
      </c>
      <c r="B2" t="str">
        <v>Core</v>
      </c>
      <c r="C2" t="str">
        <v>Application</v>
      </c>
      <c r="D2" t="str">
        <v>Policy team</v>
      </c>
      <c r="E2" t="str">
        <v>Policy management</v>
      </c>
    </row>
    <row r="3">
      <c r="A3" t="str">
        <v>Sullust</v>
      </c>
      <c r="B3" t="str">
        <v>Core</v>
      </c>
      <c r="C3" t="str">
        <v>Service</v>
      </c>
      <c r="D3" t="str">
        <v>Actuarial team</v>
      </c>
      <c r="E3" t="str">
        <v>Pricing engine</v>
      </c>
    </row>
    <row r="4">
      <c r="A4" t="str">
        <v>Takodana</v>
      </c>
      <c r="B4" t="str">
        <v>Core</v>
      </c>
      <c r="C4" t="str">
        <v>Service</v>
      </c>
      <c r="D4" t="str">
        <v>Data team</v>
      </c>
      <c r="E4" t="str">
        <v>Member repository</v>
      </c>
    </row>
    <row r="5">
      <c r="A5" t="str">
        <v>Malastare</v>
      </c>
      <c r="B5" t="str">
        <v>Core</v>
      </c>
      <c r="C5" t="str">
        <v>Infrastructure</v>
      </c>
      <c r="D5" t="str">
        <v>Integration team</v>
      </c>
      <c r="E5" t="str">
        <v>Internal message bus</v>
      </c>
    </row>
    <row r="6">
      <c r="A6" t="str">
        <v>Rodia</v>
      </c>
      <c r="B6" t="str">
        <v>Core</v>
      </c>
      <c r="C6" t="str">
        <v>Application</v>
      </c>
      <c r="D6" t="str">
        <v>Digital team</v>
      </c>
      <c r="E6" t="str">
        <v>Member portal</v>
      </c>
    </row>
    <row r="7">
      <c r="A7" t="str">
        <v>Onderon</v>
      </c>
      <c r="B7" t="str">
        <v>Core</v>
      </c>
      <c r="C7" t="str">
        <v>Service</v>
      </c>
      <c r="D7" t="str">
        <v>Compliance team</v>
      </c>
      <c r="E7" t="str">
        <v>Regulatory archiving</v>
      </c>
    </row>
    <row r="8">
      <c r="A8" t="str">
        <v>Bracca</v>
      </c>
      <c r="B8" t="str">
        <v>Sales network</v>
      </c>
      <c r="C8" t="str">
        <v>Partner</v>
      </c>
      <c r="D8" t="str">
        <v>Sales division</v>
      </c>
      <c r="E8" t="str">
        <v>Wholesale broker</v>
      </c>
    </row>
    <row r="9">
      <c r="A9" t="str">
        <v>Zeffo</v>
      </c>
      <c r="B9" t="str">
        <v>Sales network</v>
      </c>
      <c r="C9" t="str">
        <v>Application</v>
      </c>
      <c r="D9" t="str">
        <v>Sales division</v>
      </c>
      <c r="E9" t="str">
        <v>Online subscription</v>
      </c>
    </row>
    <row r="10">
      <c r="A10" t="str">
        <v>Ilum</v>
      </c>
      <c r="B10" t="str">
        <v>Health partners</v>
      </c>
      <c r="C10" t="str">
        <v>Partner</v>
      </c>
      <c r="D10" t="str">
        <v>Partnerships division</v>
      </c>
      <c r="E10" t="str">
        <v>Care facility</v>
      </c>
    </row>
    <row r="11">
      <c r="A11" t="str">
        <v>Serenno</v>
      </c>
      <c r="B11" t="str">
        <v>Institutional</v>
      </c>
      <c r="C11" t="str">
        <v>Partner</v>
      </c>
      <c r="D11" t="str">
        <v>Legal division</v>
      </c>
      <c r="E11" t="str">
        <v>Sector regulator</v>
      </c>
    </row>
    <row r="12">
      <c r="A12" t="str">
        <v>Vjun</v>
      </c>
      <c r="B12" t="str">
        <v>Support</v>
      </c>
      <c r="C12" t="str">
        <v>Packaged product</v>
      </c>
      <c r="D12" t="str">
        <v>IT department</v>
      </c>
      <c r="E12" t="str">
        <v>Outsourced payroll software</v>
      </c>
    </row>
    <row r="13">
      <c r="A13" t="str">
        <v>Crait</v>
      </c>
      <c r="B13" t="str">
        <v>Support</v>
      </c>
      <c r="C13" t="str">
        <v>Person</v>
      </c>
      <c r="D13" t="str">
        <v>Member services</v>
      </c>
      <c r="E13" t="str">
        <v>Case handling</v>
      </c>
    </row>
    <row r="14">
      <c r="A14" t="str">
        <v>Kafka</v>
      </c>
      <c r="B14" t="str">
        <v>Core</v>
      </c>
      <c r="C14" t="str">
        <v>Infrastructure</v>
      </c>
      <c r="D14" t="str">
        <v>Integration team</v>
      </c>
      <c r="E14" t="str">
        <v>Event broker</v>
      </c>
    </row>
    <row r="15">
      <c r="A15" t="str">
        <v>Dagobah</v>
      </c>
      <c r="B15" t="str">
        <v>Core</v>
      </c>
      <c r="C15" t="str">
        <v>Infrastructure</v>
      </c>
      <c r="D15" t="str">
        <v>Integration team</v>
      </c>
      <c r="E15" t="str">
        <v>Contract management gateway</v>
      </c>
    </row>
    <row r="16">
      <c r="A16" t="str">
        <v>ESB</v>
      </c>
      <c r="B16" t="str">
        <v>Support</v>
      </c>
      <c r="C16" t="str">
        <v>Infrastructure</v>
      </c>
      <c r="D16" t="str">
        <v>IT department</v>
      </c>
      <c r="E16" t="str">
        <v>Shared enterprise service bus, operated outside the platform</v>
      </c>
    </row>
    <row r="17">
      <c r="A17" t="str">
        <v>Kamino</v>
      </c>
      <c r="B17" t="str">
        <v>Core</v>
      </c>
      <c r="C17" t="str">
        <v>Object storage</v>
      </c>
      <c r="D17" t="str">
        <v>Compliance team</v>
      </c>
      <c r="E17" t="str">
        <v>Regulatory document vault</v>
      </c>
    </row>
  </sheetData>
  <ignoredErrors>
    <ignoredError numberStoredAsText="1" sqref="A1:E17"/>
  </ignoredErrors>
  <tableParts count="1">
    <tablePart r:id="rId1"/>
  </tableParts>
</worksheet>
</file>

<file path=xl/worksheets/sheet25.xml><?xml version="1.0" encoding="utf-8"?>
<worksheet xmlns="http://schemas.openxmlformats.org/spreadsheetml/2006/main" xmlns:r="http://schemas.openxmlformats.org/officeDocument/2006/relationships">
  <dimension ref="A1:B6"/>
  <sheetViews>
    <sheetView workbookViewId="0"/>
  </sheetViews>
  <cols>
    <col min="1" max="1" width="20.83203125" customWidth="1"/>
    <col min="2" max="2" width="20.83203125" customWidth="1"/>
  </cols>
  <sheetData>
    <row r="1">
      <c r="A1" t="str">
        <v>Name</v>
      </c>
      <c r="B1" t="str">
        <v>Description</v>
      </c>
    </row>
    <row r="2">
      <c r="A2" t="str">
        <v>Core</v>
      </c>
      <c r="B2" t="str">
        <v/>
      </c>
    </row>
    <row r="3">
      <c r="A3" t="str">
        <v>Sales network</v>
      </c>
      <c r="B3" t="str">
        <v/>
      </c>
    </row>
    <row r="4">
      <c r="A4" t="str">
        <v>Health partners</v>
      </c>
      <c r="B4" t="str">
        <v/>
      </c>
    </row>
    <row r="5">
      <c r="A5" t="str">
        <v>Institutional</v>
      </c>
      <c r="B5" t="str">
        <v/>
      </c>
    </row>
    <row r="6">
      <c r="A6" t="str">
        <v>Support</v>
      </c>
      <c r="B6" t="str">
        <v/>
      </c>
    </row>
  </sheetData>
  <ignoredErrors>
    <ignoredError numberStoredAsText="1" sqref="A1:B6"/>
  </ignoredErrors>
  <tableParts count="1">
    <tablePart r:id="rId1"/>
  </tableParts>
</worksheet>
</file>

<file path=xl/worksheets/sheet26.xml><?xml version="1.0" encoding="utf-8"?>
<worksheet xmlns="http://schemas.openxmlformats.org/spreadsheetml/2006/main" xmlns:r="http://schemas.openxmlformats.org/officeDocument/2006/relationships">
  <dimension ref="A1:D8"/>
  <sheetViews>
    <sheetView workbookViewId="0"/>
  </sheetViews>
  <cols>
    <col min="1" max="1" width="20.83203125" customWidth="1"/>
    <col min="2" max="2" width="20.83203125" customWidth="1"/>
    <col min="3" max="3" width="20.83203125" customWidth="1"/>
    <col min="4" max="4" width="20.83203125" customWidth="1"/>
  </cols>
  <sheetData>
    <row r="1">
      <c r="A1" t="str">
        <v>Actor type</v>
      </c>
      <c r="B1" t="str">
        <v>Icon</v>
      </c>
      <c r="C1" t="str">
        <v>Nature</v>
      </c>
      <c r="D1" t="str">
        <v>Description</v>
      </c>
    </row>
    <row r="2">
      <c r="A2" t="str">
        <v>Application</v>
      </c>
      <c r="B2" t="str">
        <v>app-window</v>
      </c>
      <c r="C2" t="str">
        <v>Business</v>
      </c>
      <c r="D2" t="str">
        <v/>
      </c>
    </row>
    <row r="3">
      <c r="A3" t="str">
        <v>Service</v>
      </c>
      <c r="B3" t="str">
        <v>cog</v>
      </c>
      <c r="C3" t="str">
        <v>Business</v>
      </c>
      <c r="D3" t="str">
        <v/>
      </c>
    </row>
    <row r="4">
      <c r="A4" t="str">
        <v>Packaged product</v>
      </c>
      <c r="B4" t="str">
        <v>package</v>
      </c>
      <c r="C4" t="str">
        <v>Business</v>
      </c>
      <c r="D4" t="str">
        <v/>
      </c>
    </row>
    <row r="5">
      <c r="A5" t="str">
        <v>Partner</v>
      </c>
      <c r="B5" t="str">
        <v>handshake</v>
      </c>
      <c r="C5" t="str">
        <v>Business</v>
      </c>
      <c r="D5" t="str">
        <v/>
      </c>
    </row>
    <row r="6">
      <c r="A6" t="str">
        <v>Person</v>
      </c>
      <c r="B6" t="str">
        <v>user</v>
      </c>
      <c r="C6" t="str">
        <v>Business</v>
      </c>
      <c r="D6" t="str">
        <v/>
      </c>
    </row>
    <row r="7">
      <c r="A7" t="str">
        <v>Infrastructure</v>
      </c>
      <c r="B7" t="str">
        <v>server</v>
      </c>
      <c r="C7" t="str">
        <v>Middleware</v>
      </c>
      <c r="D7" t="str">
        <v/>
      </c>
    </row>
    <row r="8">
      <c r="A8" t="str">
        <v>Object storage</v>
      </c>
      <c r="B8" t="str">
        <v>database</v>
      </c>
      <c r="C8" t="str">
        <v>Storage</v>
      </c>
      <c r="D8" t="str">
        <v/>
      </c>
    </row>
  </sheetData>
  <ignoredErrors>
    <ignoredError numberStoredAsText="1" sqref="A1:D8"/>
  </ignoredErrors>
  <tableParts count="1">
    <tablePart r:id="rId1"/>
  </tableParts>
</worksheet>
</file>

<file path=xl/worksheets/sheet27.xml><?xml version="1.0" encoding="utf-8"?>
<worksheet xmlns="http://schemas.openxmlformats.org/spreadsheetml/2006/main" xmlns:r="http://schemas.openxmlformats.org/officeDocument/2006/relationships">
  <dimension ref="A1:D17"/>
  <sheetViews>
    <sheetView workbookViewId="0"/>
  </sheetViews>
  <cols>
    <col min="1" max="1" width="20.83203125" customWidth="1"/>
    <col min="2" max="2" width="20.83203125" customWidth="1"/>
    <col min="3" max="3" width="20.83203125" customWidth="1"/>
    <col min="4" max="4" width="20.83203125" customWidth="1"/>
  </cols>
  <sheetData>
    <row r="1">
      <c r="A1" t="str">
        <v>Flow type</v>
      </c>
      <c r="B1" t="str">
        <v>Direction</v>
      </c>
      <c r="C1" t="str">
        <v>Description</v>
      </c>
      <c r="D1" t="str">
        <v>Colour</v>
      </c>
    </row>
    <row r="2">
      <c r="A2" t="str">
        <v>HTTP</v>
      </c>
      <c r="B2" t="str">
        <v>consumer → provider</v>
      </c>
      <c r="C2" t="str">
        <v>Direct HTTP call, REST or SOAP</v>
      </c>
      <c r="D2" t="str">
        <v/>
      </c>
    </row>
    <row r="3">
      <c r="A3" t="str">
        <v>gRPC</v>
      </c>
      <c r="B3" t="str">
        <v>consumer → provider</v>
      </c>
      <c r="C3" t="str">
        <v>Remote procedure call</v>
      </c>
      <c r="D3" t="str">
        <v/>
      </c>
    </row>
    <row r="4">
      <c r="A4" t="str">
        <v>SQL</v>
      </c>
      <c r="B4" t="str">
        <v>consumer → provider</v>
      </c>
      <c r="C4" t="str">
        <v>Direct database access</v>
      </c>
      <c r="D4" t="str">
        <v/>
      </c>
    </row>
    <row r="5">
      <c r="A5" t="str">
        <v>Kafka</v>
      </c>
      <c r="B5" t="str">
        <v>provider → consumer</v>
      </c>
      <c r="C5" t="str">
        <v>Event publication — drawn as a push from the producer</v>
      </c>
      <c r="D5" t="str">
        <v/>
      </c>
    </row>
    <row r="6">
      <c r="A6" t="str">
        <v>JMS</v>
      </c>
      <c r="B6" t="str">
        <v>provider → consumer</v>
      </c>
      <c r="C6" t="str">
        <v>Message queue — drawn as a push from the sender</v>
      </c>
      <c r="D6" t="str">
        <v/>
      </c>
    </row>
    <row r="7">
      <c r="A7" t="str">
        <v>File</v>
      </c>
      <c r="B7" t="str">
        <v>provider → consumer</v>
      </c>
      <c r="C7" t="str">
        <v>File exchange</v>
      </c>
      <c r="D7" t="str">
        <v/>
      </c>
    </row>
    <row r="8">
      <c r="A8" t="str">
        <v>SFTP</v>
      </c>
      <c r="B8" t="str">
        <v>provider → consumer</v>
      </c>
      <c r="C8" t="str">
        <v>File transfer over SSH</v>
      </c>
      <c r="D8" t="str">
        <v/>
      </c>
    </row>
    <row r="9">
      <c r="A9" t="str">
        <v>Object storage (S3)</v>
      </c>
      <c r="B9" t="str">
        <v>consumer → provider</v>
      </c>
      <c r="C9" t="str">
        <v>Read from or write to a bucket</v>
      </c>
      <c r="D9" t="str">
        <v/>
      </c>
    </row>
    <row r="10">
      <c r="A10" t="str">
        <v>LDAP</v>
      </c>
      <c r="B10" t="str">
        <v>consumer → provider</v>
      </c>
      <c r="C10" t="str">
        <v>Directory lookup</v>
      </c>
      <c r="D10" t="str">
        <v/>
      </c>
    </row>
    <row r="11">
      <c r="A11" t="str">
        <v>SMTP</v>
      </c>
      <c r="B11" t="str">
        <v>provider → consumer</v>
      </c>
      <c r="C11" t="str">
        <v>Sending email</v>
      </c>
      <c r="D11" t="str">
        <v/>
      </c>
    </row>
    <row r="12">
      <c r="A12" t="str">
        <v>Syslog</v>
      </c>
      <c r="B12" t="str">
        <v>provider → consumer</v>
      </c>
      <c r="C12" t="str">
        <v>Log shipping to a collector</v>
      </c>
      <c r="D12" t="str">
        <v/>
      </c>
    </row>
    <row r="13">
      <c r="A13" t="str">
        <v>NTP</v>
      </c>
      <c r="B13" t="str">
        <v>consumer → provider</v>
      </c>
      <c r="C13" t="str">
        <v>Time synchronisation</v>
      </c>
      <c r="D13" t="str">
        <v/>
      </c>
    </row>
    <row r="14">
      <c r="A14" t="str">
        <v>Screen entry</v>
      </c>
      <c r="B14" t="str">
        <v>consumer → provider</v>
      </c>
      <c r="C14" t="str">
        <v>Human entry on a screen the provider exposes</v>
      </c>
      <c r="D14" t="str">
        <v/>
      </c>
    </row>
    <row r="15">
      <c r="A15" t="str">
        <v>Screen lookup</v>
      </c>
      <c r="B15" t="str">
        <v>provider → consumer</v>
      </c>
      <c r="C15" t="str">
        <v>Human reading on a screen the provider exposes</v>
      </c>
      <c r="D15" t="str">
        <v/>
      </c>
    </row>
    <row r="16">
      <c r="A16" t="str">
        <v>Manual</v>
      </c>
      <c r="B16" t="str">
        <v>provider → consumer</v>
      </c>
      <c r="C16" t="str">
        <v>Human hand-off, outside any system</v>
      </c>
      <c r="D16" t="str">
        <v/>
      </c>
    </row>
    <row r="17">
      <c r="A17" t="str">
        <v>Proprietary</v>
      </c>
      <c r="B17" t="str">
        <v>consumer → provider</v>
      </c>
      <c r="C17" t="str">
        <v>Protocol specific to a packaged product</v>
      </c>
      <c r="D17" t="str">
        <v/>
      </c>
    </row>
  </sheetData>
  <ignoredErrors>
    <ignoredError numberStoredAsText="1" sqref="A1:D17"/>
  </ignoredErrors>
  <tableParts count="1">
    <tablePart r:id="rId1"/>
  </tableParts>
</worksheet>
</file>

<file path=xl/worksheets/sheet28.xml><?xml version="1.0" encoding="utf-8"?>
<worksheet xmlns="http://schemas.openxmlformats.org/spreadsheetml/2006/main" xmlns:r="http://schemas.openxmlformats.org/officeDocument/2006/relationships">
  <dimension ref="A1:A2"/>
  <sheetViews>
    <sheetView workbookViewId="0"/>
  </sheetViews>
  <cols>
    <col min="1" max="1" width="20.83203125" customWidth="1"/>
  </cols>
  <sheetData>
    <row r="1">
      <c r="A1" t="str">
        <v>Model version</v>
      </c>
    </row>
    <row r="2">
      <c r="A2">
        <v>9</v>
      </c>
    </row>
  </sheetData>
  <ignoredErrors>
    <ignoredError numberStoredAsText="1" sqref="A1:A2"/>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28</vt:i4>
      </vt:variant>
    </vt:vector>
  </HeadingPairs>
  <TitlesOfParts>
    <vt:vector size="28" baseType="lpstr">
      <vt:lpstr>Instructions</vt:lpstr>
      <vt:lpstr>Actors</vt:lpstr>
      <vt:lpstr>Groups</vt:lpstr>
      <vt:lpstr>Milestones</vt:lpstr>
      <vt:lpstr>ActorTypes</vt:lpstr>
      <vt:lpstr>FlowTypes</vt:lpstr>
      <vt:lpstr>Interfaces</vt:lpstr>
      <vt:lpstr>FX_Takodana_HTTP</vt:lpstr>
      <vt:lpstr>FX_Sullust_HTTP</vt:lpstr>
      <vt:lpstr>FX_Chandrila_HTTP</vt:lpstr>
      <vt:lpstr>FX_Chandrila_Kafka</vt:lpstr>
      <vt:lpstr>FX_Malastare_File</vt:lpstr>
      <vt:lpstr>FX_Ilum_File</vt:lpstr>
      <vt:lpstr>FX_Malastare_Kafka</vt:lpstr>
      <vt:lpstr>FX_Onderon_SFTP</vt:lpstr>
      <vt:lpstr>FX_Chandrila_File</vt:lpstr>
      <vt:lpstr>FX_Rodia_SMTP</vt:lpstr>
      <vt:lpstr>FX_Onderon_File</vt:lpstr>
      <vt:lpstr>FX_Kafka_Kafka</vt:lpstr>
      <vt:lpstr>FX_Dagobah_HTTP</vt:lpstr>
      <vt:lpstr>FX_ESB_SFTP</vt:lpstr>
      <vt:lpstr>FX_Vjun_SFTP</vt:lpstr>
      <vt:lpstr>Lists</vt:lpstr>
      <vt:lpstr>RefActors</vt:lpstr>
      <vt:lpstr>RefGroups</vt:lpstr>
      <vt:lpstr>RefActorTypes</vt:lpstr>
      <vt:lpstr>RefTechnologies</vt:lpstr>
      <vt:lpstr>Version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2026-09-07T12:00:00Z</dcterms:created>
  <dcterms:modified xsi:type="dcterms:W3CDTF">2026-09-07T12:00:00Z</dcterms:modified>
  <dc:title>Interface map</dc:title>
</cp:coreProperties>
</file>