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ctors" sheetId="2" r:id="rId2"/>
    <sheet name="Groups" sheetId="3" r:id="rId3"/>
    <sheet name="Milestones" sheetId="4" r:id="rId4"/>
    <sheet name="ActorTypes" sheetId="5" r:id="rId5"/>
    <sheet name="FlowTypes" sheetId="6" r:id="rId6"/>
    <sheet name="Interfaces" sheetId="7" r:id="rId7"/>
    <sheet name="FX_Takodana_HTTP" sheetId="8" r:id="rId8"/>
    <sheet name="FX_Sullust_HTTP" sheetId="9" r:id="rId9"/>
    <sheet name="FX_Chandrila_HTTP" sheetId="10" r:id="rId10"/>
    <sheet name="FX_Chandrila_Kafka" sheetId="11" r:id="rId11"/>
    <sheet name="FX_Malastare_File" sheetId="12" r:id="rId12"/>
    <sheet name="FX_Ilum_File" sheetId="13" r:id="rId13"/>
    <sheet name="FX_Malastare_Kafka" sheetId="14" r:id="rId14"/>
    <sheet name="FX_Onderon_SFTP" sheetId="15" r:id="rId15"/>
    <sheet name="FX_Chandrila_File" sheetId="16" r:id="rId16"/>
    <sheet name="FX_Rodia_SMTP" sheetId="17" r:id="rId17"/>
    <sheet name="FX_Onderon_File" sheetId="18" r:id="rId18"/>
    <sheet name="FX_Kafka_Kafka" sheetId="19" r:id="rId19"/>
    <sheet name="FX_Dagobah_HTTP" sheetId="20" r:id="rId20"/>
    <sheet name="FX_ESB_SFTP" sheetId="21" r:id="rId21"/>
    <sheet name="FX_Vjun_SFTP" sheetId="22" r:id="rId22"/>
    <sheet name="Lists" sheetId="23" r:id="rId23" state="hidden"/>
    <sheet name="RefActors" sheetId="24" r:id="rId24" state="hidden"/>
    <sheet name="RefGroups" sheetId="25" r:id="rId25" state="hidden"/>
    <sheet name="RefActorTypes" sheetId="26" r:id="rId26" state="hidden"/>
    <sheet name="RefTechnologies" sheetId="27" r:id="rId27" state="hidden"/>
    <sheet name="Version" sheetId="28" r:id="rId28" state="hidden"/>
  </sheets>
  <definedNames>
    <definedName name="L_Perimetre">TblLists_Perimeter[Perimeter]</definedName>
    <definedName name="L_Sens">TblLists_Direction[Direction]</definedName>
    <definedName name="L_Decision">TblLists_Decision[Decision]</definedName>
    <definedName name="L_Criticite">TblLists_Criticality[Criticality]</definedName>
    <definedName name="L_Confirmation">TblLists_Confirmation[Confirmation]</definedName>
    <definedName name="L_Icone">TblLists_Icon[Icon]</definedName>
    <definedName name="L_Nature">TblLists_Nature[Nature]</definedName>
    <definedName name="L_TypeActeur">TblActorTypes[Actor type]</definedName>
    <definedName name="L_Acteur">TblActors[Name]</definedName>
    <definedName name="L_Groupe">TblGroups[Group]</definedName>
    <definedName name="L_TypeFlux">TblFlowTypes[Flow type]</definedName>
    <definedName name="L_Palier">TblMilestones[Milestone]</definedName>
    <definedName name="L_RefActeur">TblRefActors[Name]</definedName>
    <definedName name="L_RefGroupe">TblRefGroups[Name]</definedName>
    <definedName name="L_RefTypeActeur">TblRefActorTypes[Actor type]</definedName>
    <definedName name="L_RefTypeFlux">TblRefTechnologies[Flow type]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6">
    <font>
      <sz val="12"/>
      <color theme="1"/>
      <name val="Calibri"/>
      <family val="2"/>
      <scheme val="minor"/>
    </font>
    <font>
      <b/>
      <sz val="18"/>
      <color rgb="FF0E7DAD"/>
      <name val="Calibri"/>
      <family val="2"/>
    </font>
    <font>
      <b/>
      <sz val="14"/>
      <color rgb="FF14181F"/>
      <name val="Calibri"/>
      <family val="2"/>
    </font>
    <font>
      <sz val="12"/>
      <color rgb="FF14181F"/>
      <name val="Calibri"/>
      <family val="2"/>
    </font>
    <font>
      <i/>
      <sz val="12"/>
      <color rgb="FF39424F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0E7D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borderId="0" xfId="0" applyFont="1"/>
    <xf numFmtId="0" fontId="2" borderId="0" xfId="0" applyFont="1" fillId="2" applyFill="1" applyAlignment="1">
      <alignment vertical="top" wrapText="1"/>
    </xf>
    <xf numFmtId="0" fontId="3" borderId="0" xfId="0" applyFont="1" applyAlignment="1">
      <alignment vertical="top" wrapText="1"/>
    </xf>
    <xf numFmtId="0" fontId="4" borderId="0" xfId="0" applyFont="1"/>
    <xf numFmtId="0" fontId="5" borderId="0" xfId="0" applyFont="1" fillId="3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Actors" displayName="TblActors" ref="A1:H17" totalsRowShown="0">
  <autoFilter ref="A1:H17"/>
  <tableColumns count="8">
    <tableColumn id="1" name="Name"/>
    <tableColumn id="2" name="Group"/>
    <tableColumn id="3" name="Actor type"/>
    <tableColumn id="4" name="Owner"/>
    <tableColumn id="5" name="Description"/>
    <tableColumn id="6" name="Comments"/>
    <tableColumn id="7" name="Introduced at"/>
    <tableColumn id="8" name="Retired 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Groups" displayName="TblGroups" ref="A1:B6" totalsRowShown="0">
  <autoFilter ref="A1:B6"/>
  <tableColumns count="2">
    <tableColumn id="1" name="Group"/>
    <tableColumn id="2" name="Perimet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ilestones" displayName="TblMilestones" ref="A1:F4" totalsRowShown="0">
  <autoFilter ref="A1:F4"/>
  <tableColumns count="6">
    <tableColumn id="1" name="Milestone"/>
    <tableColumn id="2" name="Rank"/>
    <tableColumn id="3" name="Label"/>
    <tableColumn id="4" name="Status"/>
    <tableColumn id="5" name="Date"/>
    <tableColumn id="6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ctorTypes" displayName="TblActorTypes" ref="A1:C8" totalsRowShown="0">
  <autoFilter ref="A1:C8"/>
  <tableColumns count="3">
    <tableColumn id="1" name="Actor type"/>
    <tableColumn id="2" name="Icon">
      <calculatedColumnFormula>IFERROR(INDEX(RefActorTypes!$B:$B,MATCH($A2,RefActorTypes!$A:$A,0)),"")</calculatedColumnFormula>
    </tableColumn>
    <tableColumn id="3" name="Nature">
      <calculatedColumnFormula>IFERROR(INDEX(RefActorTypes!$C:$C,MATCH($A2,RefActorTypes!$A:$A,0)),"")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lowTypes" displayName="TblFlowTypes" ref="A1:D17" totalsRowShown="0">
  <autoFilter ref="A1:D17"/>
  <tableColumns count="4">
    <tableColumn id="1" name="Flow type"/>
    <tableColumn id="2" name="Direction">
      <calculatedColumnFormula>IFERROR(INDEX(RefTechnologies!$B:$B,MATCH($A2,RefTechnologies!$A:$A,0)),"")</calculatedColumnFormula>
    </tableColumn>
    <tableColumn id="3" name="Description">
      <calculatedColumnFormula>IFERROR(INDEX(RefTechnologies!$C:$C,MATCH($A2,RefTechnologies!$A:$A,0)),"")</calculatedColumnFormula>
    </tableColumn>
    <tableColumn id="4" name="Colour">
      <calculatedColumnFormula>IFERROR(INDEX(RefTechnologies!$D:$D,MATCH($A2,RefTechnologies!$A:$A,0)),"")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Interfaces" displayName="TblInterfaces" ref="A1:K19" totalsRowShown="0">
  <autoFilter ref="A1:K19"/>
  <tableColumns count="11">
    <tableColumn id="1" name="Flow name"/>
    <tableColumn id="2" name="Version"/>
    <tableColumn id="3" name="Provider"/>
    <tableColumn id="4" name="Flow type"/>
    <tableColumn id="5" name="Description"/>
    <tableColumn id="6" name="Contract link"/>
    <tableColumn id="7" name="Contract reference"/>
    <tableColumn id="8" name="Comments"/>
    <tableColumn id="9" name="To confirm"/>
    <tableColumn id="10" name="Introduced at"/>
    <tableColumn id="11" name="Retired 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X_Takodana_HTTP" displayName="TblFX_Takodana_HTTP" ref="A1:J5" totalsRowShown="0">
  <autoFilter ref="A1:J5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X_Sullust_HTTP" displayName="TblFX_Sullust_HTTP" ref="A1:J4" totalsRowShown="0">
  <autoFilter ref="A1:J4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FX_Chandrila_HTTP" displayName="TblFX_Chandrila_HTTP" ref="A1:J3" totalsRowShown="0">
  <autoFilter ref="A1:J3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X_Chandrila_Kafka" displayName="TblFX_Chandrila_Kafka" ref="A1:J6" totalsRowShown="0">
  <autoFilter ref="A1:J6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X_Malastare_File" displayName="TblFX_Malastare_File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FX_Ilum_File" displayName="TblFX_Ilum_File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FX_Malastare_Kafka" displayName="TblFX_Malastare_Kafka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FX_Onderon_SFTP" displayName="TblFX_Onderon_SFTP" ref="A1:J4" totalsRowShown="0">
  <autoFilter ref="A1:J4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FX_Chandrila_File" displayName="TblFX_Chandrila_File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FX_Rodia_SMTP" displayName="TblFX_Rodia_SMTP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FX_Onderon_File" displayName="TblFX_Onderon_File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FX_Kafka_Kafka" displayName="TblFX_Kafka_Kafka" ref="A1:J3" totalsRowShown="0">
  <autoFilter ref="A1:J3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FX_Dagobah_HTTP" displayName="TblFX_Dagobah_HTTP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FX_ESB_SFTP" displayName="TblFX_ESB_SFTP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FX_Vjun_SFTP" displayName="TblFX_Vjun_SFTP" ref="A1:J2" totalsRowShown="0">
  <autoFilter ref="A1:J2"/>
  <tableColumns count="10">
    <tableColumn id="1" name="Flow name"/>
    <tableColumn id="2" name="Version"/>
    <tableColumn id="3" name="Consumer"/>
    <tableColumn id="4" name="Usage"/>
    <tableColumn id="5" name="Criticality for this consumer"/>
    <tableColumn id="6" name="Decision"/>
    <tableColumn id="7" name="Comments"/>
    <tableColumn id="8" name="Republished as"/>
    <tableColumn id="9" name="Introduced at"/>
    <tableColumn id="10" name="Retired 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Lists_Perimeter" displayName="TblLists_Perimeter" ref="A1:A3" totalsRowShown="0">
  <autoFilter ref="A1:A3"/>
  <tableColumns count="1">
    <tableColumn id="1" name="Perimet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Lists_Direction" displayName="TblLists_Direction" ref="B1:B3" totalsRowShown="0">
  <autoFilter ref="B1:B3"/>
  <tableColumns count="1">
    <tableColumn id="1" name="Directio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Lists_Decision" displayName="TblLists_Decision" ref="C1:C5" totalsRowShown="0">
  <autoFilter ref="C1:C5"/>
  <tableColumns count="1">
    <tableColumn id="1" name="Decisio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Lists_Criticality" displayName="TblLists_Criticality" ref="D1:D4" totalsRowShown="0">
  <autoFilter ref="D1:D4"/>
  <tableColumns count="1">
    <tableColumn id="1" name="Criticality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Lists_Confirmation" displayName="TblLists_Confirmation" ref="E1:E3" totalsRowShown="0">
  <autoFilter ref="E1:E3"/>
  <tableColumns count="1">
    <tableColumn id="1" name="Confirmati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blLists_Nature" displayName="TblLists_Nature" ref="F1:F4" totalsRowShown="0">
  <autoFilter ref="F1:F4"/>
  <tableColumns count="1">
    <tableColumn id="1" name="Natu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Lists_Icon" displayName="TblLists_Icon" ref="G1:G26" totalsRowShown="0">
  <autoFilter ref="G1:G26"/>
  <tableColumns count="1">
    <tableColumn id="1" name="Ic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Lists_Preview" displayName="TblLists_Preview" ref="H1:H26" totalsRowShown="0">
  <autoFilter ref="H1:H26"/>
  <tableColumns count="1">
    <tableColumn id="1" name="Preview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blRefActors" displayName="TblRefActors" ref="A1:E17" totalsRowShown="0">
  <autoFilter ref="A1:E17"/>
  <tableColumns count="5">
    <tableColumn id="1" name="Name"/>
    <tableColumn id="2" name="Group"/>
    <tableColumn id="3" name="Actor type"/>
    <tableColumn id="4" name="Owner"/>
    <tableColumn id="5" name="Description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blRefGroups" displayName="TblRefGroups" ref="A1:B6" totalsRowShown="0">
  <autoFilter ref="A1:B6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blRefActorTypes" displayName="TblRefActorTypes" ref="A1:D8" totalsRowShown="0">
  <autoFilter ref="A1:D8"/>
  <tableColumns count="4">
    <tableColumn id="1" name="Actor type"/>
    <tableColumn id="2" name="Icon"/>
    <tableColumn id="3" name="Nature"/>
    <tableColumn id="4" name="Description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blRefTechnologies" displayName="TblRefTechnologies" ref="A1:D17" totalsRowShown="0">
  <autoFilter ref="A1:D17"/>
  <tableColumns count="4">
    <tableColumn id="1" name="Flow type"/>
    <tableColumn id="2" name="Direction"/>
    <tableColumn id="3" name="Description"/>
    <tableColumn id="4" name="Col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table" Target="../tables/table22.xml"/><Relationship Id="rId2" Type="http://schemas.openxmlformats.org/officeDocument/2006/relationships/table" Target="../tables/table23.xml"/><Relationship Id="rId3" Type="http://schemas.openxmlformats.org/officeDocument/2006/relationships/table" Target="../tables/table24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Relationship Id="rId8" Type="http://schemas.openxmlformats.org/officeDocument/2006/relationships/table" Target="../tables/table29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cols>
    <col min="1" max="1" width="26.83203125" customWidth="1"/>
    <col min="2" max="2" width="104.83203125" customWidth="1"/>
  </cols>
  <sheetData>
    <row r="1">
      <c r="A1" t="str" s="1">
        <v>INTERFACE MAP</v>
      </c>
      <c r="B1" t="str" s="1">
        <v>How to fill this workbook in — and what the tool makes of it.</v>
      </c>
    </row>
    <row r="2">
      <c r="A2" t="str" s="4">
        <v/>
      </c>
      <c r="B2" t="str" s="4">
        <v>You never fill the same thing twice: every sheet answers one question, and the drop-down lists are built from the sheets before it.</v>
      </c>
    </row>
    <row r="3">
      <c r="A3" t="str" s="3">
        <v/>
      </c>
      <c r="B3" t="str" s="3">
        <v/>
      </c>
    </row>
    <row r="4">
      <c r="A4" t="str" s="2">
        <v>START HERE</v>
      </c>
      <c r="B4" t="str" s="2">
        <v/>
      </c>
    </row>
    <row r="5">
      <c r="A5" t="str" s="3">
        <v>1. Groups</v>
      </c>
      <c r="B5" t="str" s="3">
        <v>Name your groups and say, for each, whether it is Platform (what your team owns) or External.</v>
      </c>
    </row>
    <row r="6">
      <c r="A6" t="str" s="3">
        <v>2. Actors</v>
      </c>
      <c r="B6" t="str" s="3">
        <v>List the components. Each belongs to a group and carries a type.</v>
      </c>
    </row>
    <row r="7">
      <c r="A7" t="str" s="3">
        <v>3. ActorTypes</v>
      </c>
      <c r="B7" t="str" s="3">
        <v>Name the types your actors wear. Icon and nature are read from the referential, not typed here.</v>
      </c>
    </row>
    <row r="8">
      <c r="A8" t="str" s="3">
        <v>4. FlowTypes</v>
      </c>
      <c r="B8" t="str" s="3">
        <v>Name the technologies you use. Direction, description and colour are read from the referential.</v>
      </c>
    </row>
    <row r="9">
      <c r="A9" t="str" s="3">
        <v>5. Interfaces</v>
      </c>
      <c r="B9" t="str" s="3">
        <v>Declare each interface: its name, its version, WHO PROVIDES it, over which technology.</v>
      </c>
    </row>
    <row r="10">
      <c r="A10" t="str" s="3">
        <v>6. FX_ sheets</v>
      </c>
      <c r="B10" t="str" s="3">
        <v>One sheet per (provider, technology) pair: who consumes what, and how critical it is to them.</v>
      </c>
    </row>
    <row r="11">
      <c r="A11" t="str" s="4">
        <v/>
      </c>
      <c r="B11" t="str" s="4">
        <v>Select any cell: a note tells you what is expected there.</v>
      </c>
    </row>
    <row r="12">
      <c r="A12" t="str" s="3">
        <v/>
      </c>
      <c r="B12" t="str" s="3">
        <v/>
      </c>
    </row>
    <row r="13">
      <c r="A13" t="str" s="2">
        <v>THE REFERENTIAL</v>
      </c>
      <c r="B13" t="str" s="2">
        <v/>
      </c>
    </row>
    <row r="14">
      <c r="A14" t="str" s="3">
        <v/>
      </c>
      <c r="B14" t="str" s="3">
        <v>Actors, groups, actor types and technologies come from a shared referential: one workbook, obtained in the tool under « Repair or upgrade a workbook ».</v>
      </c>
    </row>
    <row r="15">
      <c r="A15" t="str" s="3">
        <v/>
      </c>
      <c r="B15" t="str" s="3">
        <v>Drop the referential on the tool together with this workbook, or after it. This workbook carries a hidden copy of it; when that copy has drifted, the tool refreshes it and hands the updated workbook back to download.</v>
      </c>
    </row>
    <row r="16">
      <c r="A16" t="str" s="4">
        <v/>
      </c>
      <c r="B16" t="str" s="4">
        <v>What the referential says about a name — an icon, a nature, a direction, a colour — is read from that copy, never typed here: Excel puts the formula back.</v>
      </c>
    </row>
    <row r="17">
      <c r="A17" t="str" s="3">
        <v/>
      </c>
      <c r="B17" t="str" s="3">
        <v/>
      </c>
    </row>
    <row r="18">
      <c r="A18" t="str" s="2">
        <v>THE PRINCIPLE</v>
      </c>
      <c r="B18" t="str" s="2">
        <v/>
      </c>
    </row>
    <row r="19">
      <c r="A19" t="str" s="3">
        <v/>
      </c>
      <c r="B19" t="str" s="3">
        <v>An interface is PROVIDED once, by one actor, and CONSUMED by one or more others.</v>
      </c>
    </row>
    <row r="20">
      <c r="A20" t="str" s="3">
        <v/>
      </c>
      <c r="B20" t="str" s="3">
        <v>It is described once on Interfaces, and its consumptions are detailed on an FX_&lt;provider&gt;_&lt;flow type&gt; sheet.</v>
      </c>
    </row>
    <row r="21">
      <c r="A21" t="str" s="3">
        <v/>
      </c>
      <c r="B21" t="str" s="3">
        <v>Two actors may publish interfaces of the same name: those are two interfaces, told apart by their provider.</v>
      </c>
    </row>
    <row r="22">
      <c r="A22" t="str" s="3">
        <v/>
      </c>
      <c r="B22" t="str" s="3">
        <v/>
      </c>
    </row>
    <row r="23">
      <c r="A23" t="str" s="2">
        <v>THE TWO READINGS</v>
      </c>
      <c r="B23" t="str" s="2">
        <v/>
      </c>
    </row>
    <row r="24">
      <c r="A24" t="str" s="3">
        <v/>
      </c>
      <c r="B24" t="str" s="3">
        <v>The same workbook is read two ways, and you fill it in only once.</v>
      </c>
    </row>
    <row r="25">
      <c r="A25" t="str" s="3">
        <v>Architecture</v>
      </c>
      <c r="B25" t="str" s="3">
        <v>answers « what does it go through »: every hop is drawn, buses and gateways included.</v>
      </c>
    </row>
    <row r="26">
      <c r="A26" t="str" s="3">
        <v>Functional</v>
      </c>
      <c r="B26" t="str" s="3">
        <v>answers « who feeds whom »: middlewares disappear, and the flows crossing them are joined end to end.</v>
      </c>
    </row>
    <row r="27">
      <c r="A27" t="str" s="3">
        <v/>
      </c>
      <c r="B27" t="str" s="3">
        <v>Two columns carry the distinction, and both are optional. Nature, read from the referential, says what a type IS: Business, a correspondent; Middleware, plumbing that is CROSSED — a bus, a gateway; Storage, plumbing where the data STOPS — a bucket, a database, an archive. Only a middleware is folded away. Republished as, on the FX_ sheets, is filled on a middleware's own consumption lines: under which of ITS interfaces that input comes back out.</v>
      </c>
    </row>
    <row r="28">
      <c r="A28" t="str" s="3">
        <v/>
      </c>
      <c r="B28" t="str" s="3">
        <v>A bus that aggregates writes nothing special — it simply has several lines pointing at the same interface.</v>
      </c>
    </row>
    <row r="29">
      <c r="A29" t="str" s="4">
        <v/>
      </c>
      <c r="B29" t="str" s="4">
        <v>Fill neither column and the tool never mentions the distinction.</v>
      </c>
    </row>
    <row r="30">
      <c r="A30" t="str" s="3">
        <v/>
      </c>
      <c r="B30" t="str" s="3">
        <v/>
      </c>
    </row>
    <row r="31">
      <c r="A31" t="str" s="2">
        <v>THE SHEETS</v>
      </c>
      <c r="B31" t="str" s="2">
        <v/>
      </c>
    </row>
    <row r="32">
      <c r="A32" t="str" s="3">
        <v>Groups</v>
      </c>
      <c r="B32" t="str" s="3">
        <v>The perimeter is declared HERE, not on each actor: a group is Platform or External, and everything it holds follows.</v>
      </c>
    </row>
    <row r="33">
      <c r="A33" t="str" s="3">
        <v>Actors</v>
      </c>
      <c r="B33" t="str" s="3">
        <v>Who exists, in which group, of which type.</v>
      </c>
    </row>
    <row r="34">
      <c r="A34" t="str" s="3">
        <v>ActorTypes</v>
      </c>
      <c r="B34" t="str" s="3">
        <v>The list of types that exist here. Icon and Nature are read from the referential's copy.</v>
      </c>
    </row>
    <row r="35">
      <c r="A35" t="str" s="3">
        <v>FlowTypes</v>
      </c>
      <c r="B35" t="str" s="3">
        <v>The technologies used here. Direction, Description and Colour are read from the referential's copy.</v>
      </c>
    </row>
    <row r="36">
      <c r="A36" t="str" s="4">
        <v/>
      </c>
      <c r="B36" t="str" s="4">
        <v>A technology's colour comes from the referential, as a hex code such as #2a78d6. Without one the tool picks from its palette; a colour too light to see is darkened on screen, and the report says so.</v>
      </c>
    </row>
    <row r="37">
      <c r="A37" t="str" s="3">
        <v>Milestones</v>
      </c>
      <c r="B37" t="str" s="3">
        <v>The platform's timeline. Every row elsewhere says at which milestone it arrived and at which one it left.</v>
      </c>
    </row>
    <row r="38">
      <c r="A38" t="str" s="3">
        <v>Interfaces</v>
      </c>
      <c r="B38" t="str" s="3">
        <v>The catalogue: a flow, its provider, its technology, its contract.</v>
      </c>
    </row>
    <row r="39">
      <c r="A39" t="str" s="3">
        <v>FX_…</v>
      </c>
      <c r="B39" t="str" s="3">
        <v>One sheet per (provider, flow type) pair: who consumes what.</v>
      </c>
    </row>
    <row r="40">
      <c r="A40" t="str" s="4">
        <v/>
      </c>
      <c r="B40" t="str" s="4">
        <v>Six sheets are hidden and filled by the tool: Lists, Version, and the referential's copy — RefActors, RefGroups, RefActorTypes, RefTechnologies. Right-click a tab &gt; Unhide to see them; do not edit them.</v>
      </c>
    </row>
    <row r="41">
      <c r="A41" t="str" s="3">
        <v/>
      </c>
      <c r="B41" t="str" s="3">
        <v/>
      </c>
    </row>
    <row r="42">
      <c r="A42" t="str" s="2">
        <v>ENTRY RULES</v>
      </c>
      <c r="B42" t="str" s="2">
        <v/>
      </c>
    </row>
    <row r="43">
      <c r="A43" t="str" s="3">
        <v>Drop-down lists</v>
      </c>
      <c r="B43" t="str" s="3">
        <v>Reference columns carry them and they grow by themselves: add an actor and it appears at once on Interfaces and on the FX_ sheets. Never type a name by hand — a spelling variant creates a phantom actor.</v>
      </c>
    </row>
    <row r="44">
      <c r="A44" t="str" s="3">
        <v>Flow name</v>
      </c>
      <c r="B44" t="str" s="3">
        <v>Unique for one provider, together with its version: that pair links the catalogue to the detail.</v>
      </c>
    </row>
    <row r="45">
      <c r="A45" t="str" s="3">
        <v>Version</v>
      </c>
      <c r="B45" t="str" s="3">
        <v>On an FX_ sheet, fill Flow name in first: the versions offered are the ones declared for that interface.</v>
      </c>
    </row>
    <row r="46">
      <c r="A46" t="str" s="3">
        <v>Republished as</v>
      </c>
      <c r="B46" t="str" s="3">
        <v>Only on a middleware's own consumption lines: which of its interfaces republishes this input. The drop-down offers that actor's interfaces and no others.</v>
      </c>
    </row>
    <row r="47">
      <c r="A47" t="str" s="3">
        <v>Decision</v>
      </c>
      <c r="B47" t="str" s="3">
        <v>What has been decided for one consumption. Remove is a DEPRECATION warning, not a retirement.</v>
      </c>
    </row>
    <row r="48">
      <c r="A48" t="str" s="3">
        <v>Retired at</v>
      </c>
      <c r="B48" t="str" s="3">
        <v>The only column that takes a row off the diagrams. A row retired AT v3 is already gone at v3.</v>
      </c>
    </row>
    <row r="49">
      <c r="A49" t="str" s="3">
        <v>Obsolete row</v>
      </c>
      <c r="B49" t="str" s="3">
        <v>Do not delete it: give it a retirement milestone. Deleting it erases the history.</v>
      </c>
    </row>
    <row r="50">
      <c r="A50" t="str" s="3">
        <v>Renaming an actor</v>
      </c>
      <c r="B50" t="str" s="3">
        <v>Breaks every reference to it. Find and replace across the whole workbook, or not at all.</v>
      </c>
    </row>
    <row r="51">
      <c r="A51" t="str" s="3">
        <v/>
      </c>
      <c r="B51" t="str" s="3">
        <v/>
      </c>
    </row>
    <row r="52">
      <c r="A52" t="str" s="2">
        <v>READING AN ARROW</v>
      </c>
      <c r="B52" t="str" s="2">
        <v/>
      </c>
    </row>
    <row r="53">
      <c r="A53" t="str" s="3">
        <v/>
      </c>
      <c r="B53" t="str" s="3">
        <v>Nothing to type in: two things are drawn, and both follow from the flow type.</v>
      </c>
    </row>
    <row r="54">
      <c r="A54" t="str" s="3">
        <v>The line</v>
      </c>
      <c r="B54" t="str" s="3">
        <v>follows the data, always from provider to consumer, so a chain of relays reads like a pipe.</v>
      </c>
    </row>
    <row r="55">
      <c r="A55" t="str" s="3">
        <v>The arrowhead</v>
      </c>
      <c r="B55" t="str" s="3">
        <v>says who takes the initiative. A SOLID head means the provider pushes — Kafka, JMS, a file drop. An OPEN V means the consumer pulls — HTTP, SQL, LDAP — and it sits at the provider's end, pointing back at what is being queried.</v>
      </c>
    </row>
    <row r="56">
      <c r="A56" t="str" s="4">
        <v/>
      </c>
      <c r="B56" t="str" s="4">
        <v>The functional reading keeps the line and drops the nuance: a chain crosses technologies of opposite conventions, and only the data direction survives that.</v>
      </c>
    </row>
    <row r="57">
      <c r="A57" t="str" s="3">
        <v/>
      </c>
      <c r="B57" t="str" s="3">
        <v/>
      </c>
    </row>
    <row r="58">
      <c r="A58" t="str" s="2">
        <v>MISSING FX_ SHEETS</v>
      </c>
      <c r="B58" t="str" s="2">
        <v/>
      </c>
    </row>
    <row r="59">
      <c r="A59" t="str" s="3">
        <v/>
      </c>
      <c r="B59" t="str" s="3">
        <v>Fill Interfaces in first: each row calls for an FX_&lt;provider&gt;_&lt;type&gt; sheet. Create it by hand, or drop this workbook on the tool and use « Repair or upgrade a workbook » — it returns the file with every expected sheet.</v>
      </c>
    </row>
    <row r="60">
      <c r="A60" t="str" s="4">
        <v/>
      </c>
      <c r="B60" t="str" s="4">
        <v>Excel caps a tab name at 31 characters and refuses \ / ? * [ ] : a long provider therefore gets a shortened tab. The tool cuts it the same way, so the two always agree, and it warns if two pairs land on the same tab.</v>
      </c>
    </row>
    <row r="61">
      <c r="A61" t="str" s="3">
        <v/>
      </c>
      <c r="B61" t="str" s="3">
        <v/>
      </c>
    </row>
    <row r="62">
      <c r="A62" t="str" s="4">
        <v/>
      </c>
      <c r="B62" t="str" s="4">
        <v>The visualisation tool only READS this workbook: it never modifies it.</v>
      </c>
    </row>
  </sheetData>
  <ignoredErrors>
    <ignoredError numberStoredAsText="1" sqref="A1:B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7.83203125" customWidth="1"/>
    <col min="8" max="8" width="16.83203125" customWidth="1"/>
  </cols>
  <sheetData>
    <row r="1">
      <c r="A1" t="str" s="5">
        <v>Name</v>
      </c>
      <c r="B1" t="str" s="5">
        <v>Group</v>
      </c>
      <c r="C1" t="str" s="5">
        <v>Actor type</v>
      </c>
      <c r="D1" t="str" s="5">
        <v>Owner</v>
      </c>
      <c r="E1" t="str" s="5">
        <v>Description</v>
      </c>
      <c r="F1" t="str" s="5">
        <v>Comments</v>
      </c>
      <c r="G1" t="str" s="5">
        <v>Introduced at</v>
      </c>
      <c r="H1" t="str" s="5">
        <v>Retired at</v>
      </c>
    </row>
    <row r="2">
      <c r="A2" t="str">
        <v>Chandrila</v>
      </c>
      <c r="B2" t="str">
        <v>Core</v>
      </c>
      <c r="C2" t="str">
        <v>Application</v>
      </c>
      <c r="D2" t="str">
        <v>Policy team</v>
      </c>
      <c r="E2" t="str">
        <v>Policy management</v>
      </c>
      <c r="F2" t="str">
        <v/>
      </c>
      <c r="G2" t="str">
        <v>v1</v>
      </c>
      <c r="H2" t="str">
        <v/>
      </c>
    </row>
    <row r="3">
      <c r="A3" t="str">
        <v>Sullust</v>
      </c>
      <c r="B3" t="str">
        <v>Core</v>
      </c>
      <c r="C3" t="str">
        <v>Service</v>
      </c>
      <c r="D3" t="str">
        <v>Actuarial team</v>
      </c>
      <c r="E3" t="str">
        <v>Pricing engine</v>
      </c>
      <c r="F3" t="str">
        <v/>
      </c>
      <c r="G3" t="str">
        <v>v1</v>
      </c>
      <c r="H3" t="str">
        <v/>
      </c>
    </row>
    <row r="4">
      <c r="A4" t="str">
        <v>Takodana</v>
      </c>
      <c r="B4" t="str">
        <v>Core</v>
      </c>
      <c r="C4" t="str">
        <v>Service</v>
      </c>
      <c r="D4" t="str">
        <v>Data team</v>
      </c>
      <c r="E4" t="str">
        <v>Member repository</v>
      </c>
      <c r="F4" t="str">
        <v/>
      </c>
      <c r="G4" t="str">
        <v>v1</v>
      </c>
      <c r="H4" t="str">
        <v/>
      </c>
    </row>
    <row r="5">
      <c r="A5" t="str">
        <v>Malastare</v>
      </c>
      <c r="B5" t="str">
        <v>Core</v>
      </c>
      <c r="C5" t="str">
        <v>Infrastructure</v>
      </c>
      <c r="D5" t="str">
        <v>Integration team</v>
      </c>
      <c r="E5" t="str">
        <v>Internal message bus</v>
      </c>
      <c r="F5" t="str">
        <v/>
      </c>
      <c r="G5" t="str">
        <v>v1</v>
      </c>
      <c r="H5" t="str">
        <v/>
      </c>
    </row>
    <row r="6">
      <c r="A6" t="str">
        <v>Rodia</v>
      </c>
      <c r="B6" t="str">
        <v>Core</v>
      </c>
      <c r="C6" t="str">
        <v>Application</v>
      </c>
      <c r="D6" t="str">
        <v>Digital team</v>
      </c>
      <c r="E6" t="str">
        <v>Member portal</v>
      </c>
      <c r="F6" t="str">
        <v/>
      </c>
      <c r="G6" t="str">
        <v>v1</v>
      </c>
      <c r="H6" t="str">
        <v/>
      </c>
    </row>
    <row r="7">
      <c r="A7" t="str">
        <v>Onderon</v>
      </c>
      <c r="B7" t="str">
        <v>Core</v>
      </c>
      <c r="C7" t="str">
        <v>Service</v>
      </c>
      <c r="D7" t="str">
        <v>Compliance team</v>
      </c>
      <c r="E7" t="str">
        <v>Regulatory archiving</v>
      </c>
      <c r="F7" t="str">
        <v/>
      </c>
      <c r="G7" t="str">
        <v>v1</v>
      </c>
      <c r="H7" t="str">
        <v/>
      </c>
    </row>
    <row r="8">
      <c r="A8" t="str">
        <v>Bracca</v>
      </c>
      <c r="B8" t="str">
        <v>Sales network</v>
      </c>
      <c r="C8" t="str">
        <v>Partner</v>
      </c>
      <c r="D8" t="str">
        <v>Sales division</v>
      </c>
      <c r="E8" t="str">
        <v>Wholesale broker</v>
      </c>
      <c r="F8" t="str">
        <v/>
      </c>
      <c r="G8" t="str">
        <v>v1</v>
      </c>
      <c r="H8" t="str">
        <v/>
      </c>
    </row>
    <row r="9">
      <c r="A9" t="str">
        <v>Zeffo</v>
      </c>
      <c r="B9" t="str">
        <v>Sales network</v>
      </c>
      <c r="C9" t="str">
        <v>Application</v>
      </c>
      <c r="D9" t="str">
        <v>Sales division</v>
      </c>
      <c r="E9" t="str">
        <v>Online subscription</v>
      </c>
      <c r="F9" t="str">
        <v/>
      </c>
      <c r="G9" t="str">
        <v>v1</v>
      </c>
      <c r="H9" t="str">
        <v/>
      </c>
    </row>
    <row r="10">
      <c r="A10" t="str">
        <v>Ilum</v>
      </c>
      <c r="B10" t="str">
        <v>Health partners</v>
      </c>
      <c r="C10" t="str">
        <v>Partner</v>
      </c>
      <c r="D10" t="str">
        <v>Partnerships division</v>
      </c>
      <c r="E10" t="str">
        <v>Care facility</v>
      </c>
      <c r="F10" t="str">
        <v/>
      </c>
      <c r="G10" t="str">
        <v>v1</v>
      </c>
      <c r="H10" t="str">
        <v/>
      </c>
    </row>
    <row r="11">
      <c r="A11" t="str">
        <v>Serenno</v>
      </c>
      <c r="B11" t="str">
        <v>Institutional</v>
      </c>
      <c r="C11" t="str">
        <v>Partner</v>
      </c>
      <c r="D11" t="str">
        <v>Legal division</v>
      </c>
      <c r="E11" t="str">
        <v>Sector regulator</v>
      </c>
      <c r="F11" t="str">
        <v/>
      </c>
      <c r="G11" t="str">
        <v>v1</v>
      </c>
      <c r="H11" t="str">
        <v/>
      </c>
    </row>
    <row r="12">
      <c r="A12" t="str">
        <v>Vjun</v>
      </c>
      <c r="B12" t="str">
        <v>Support</v>
      </c>
      <c r="C12" t="str">
        <v>Packaged product</v>
      </c>
      <c r="D12" t="str">
        <v>IT department</v>
      </c>
      <c r="E12" t="str">
        <v>Outsourced payroll software</v>
      </c>
      <c r="F12" t="str">
        <v/>
      </c>
      <c r="G12" t="str">
        <v>v2</v>
      </c>
      <c r="H12" t="str">
        <v/>
      </c>
    </row>
    <row r="13">
      <c r="A13" t="str">
        <v>Crait</v>
      </c>
      <c r="B13" t="str">
        <v>Support</v>
      </c>
      <c r="C13" t="str">
        <v>Person</v>
      </c>
      <c r="D13" t="str">
        <v>Member services</v>
      </c>
      <c r="E13" t="str">
        <v>Case handling</v>
      </c>
      <c r="F13" t="str">
        <v/>
      </c>
      <c r="G13" t="str">
        <v>v1</v>
      </c>
      <c r="H13" t="str">
        <v/>
      </c>
    </row>
    <row r="14">
      <c r="A14" t="str">
        <v>Kafka</v>
      </c>
      <c r="B14" t="str">
        <v>Core</v>
      </c>
      <c r="C14" t="str">
        <v>Infrastructure</v>
      </c>
      <c r="D14" t="str">
        <v>Integration team</v>
      </c>
      <c r="E14" t="str">
        <v>Event broker</v>
      </c>
      <c r="F14" t="str">
        <v/>
      </c>
      <c r="G14" t="str">
        <v>v1</v>
      </c>
      <c r="H14" t="str">
        <v/>
      </c>
    </row>
    <row r="15">
      <c r="A15" t="str">
        <v>Dagobah</v>
      </c>
      <c r="B15" t="str">
        <v>Core</v>
      </c>
      <c r="C15" t="str">
        <v>Infrastructure</v>
      </c>
      <c r="D15" t="str">
        <v>Integration team</v>
      </c>
      <c r="E15" t="str">
        <v>Contract management gateway</v>
      </c>
      <c r="F15" t="str">
        <v/>
      </c>
      <c r="G15" t="str">
        <v>v1</v>
      </c>
      <c r="H15" t="str">
        <v/>
      </c>
    </row>
    <row r="16">
      <c r="A16" t="str">
        <v>ESB</v>
      </c>
      <c r="B16" t="str">
        <v>Support</v>
      </c>
      <c r="C16" t="str">
        <v>Infrastructure</v>
      </c>
      <c r="D16" t="str">
        <v>IT department</v>
      </c>
      <c r="E16" t="str">
        <v>Shared enterprise service bus, operated outside the platform</v>
      </c>
      <c r="F16" t="str">
        <v/>
      </c>
      <c r="G16" t="str">
        <v>v1</v>
      </c>
      <c r="H16" t="str">
        <v/>
      </c>
    </row>
    <row r="17">
      <c r="A17" t="str">
        <v>Kamino</v>
      </c>
      <c r="B17" t="str">
        <v>Core</v>
      </c>
      <c r="C17" t="str">
        <v>Object storage</v>
      </c>
      <c r="D17" t="str">
        <v>Compliance team</v>
      </c>
      <c r="E17" t="str">
        <v>Regulatory document vault</v>
      </c>
      <c r="F17" t="str">
        <v/>
      </c>
      <c r="G17" t="str">
        <v>v1</v>
      </c>
      <c r="H17" t="str">
        <v/>
      </c>
    </row>
  </sheetData>
  <dataValidations count="8">
    <dataValidation type="list" allowBlank="1" showInputMessage="1" showErrorMessage="0" promptTitle="Name" prompt="The component's name, as everyone here calls it. It becomes the reference used everywhere else: renaming it later means a find-and-replace across the whole workbook." sqref="A2:A1000">
      <formula1>L_RefActeur</formula1>
    </dataValidation>
    <dataValidation type="list" allowBlank="1" showInputMessage="1" showErrorMessage="1" promptTitle="Group" prompt="The group this component belongs to. The group carries the perimeter — Platform or External — so everything it holds follows." sqref="B2:B1000">
      <formula1>L_Groupe</formula1>
    </dataValidation>
    <dataValidation type="list" allowBlank="1" showInputMessage="1" showErrorMessage="1" promptTitle="Actor type" prompt="Declared on the ActorTypes sheet; its icon and its nature — Business, Middleware or Storage — are read from the referential." sqref="C2:C1000">
      <formula1>L_TypeActeur</formula1>
    </dataValidation>
    <dataValidation type="list" allowBlank="1" showInputMessage="1" showErrorMessage="1" promptTitle="Introduced at" prompt="A milestone from the Milestones sheet, the one this line appears at. Leave empty if it has always been there." sqref="G2:G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H2:H1000">
      <formula1>L_Palier</formula1>
    </dataValidation>
    <dataValidation type="none" allowBlank="1" showInputMessage="1" showErrorMessage="0" promptTitle="Owner" prompt="Who to talk to about this component. Carried through to the exports, never drawn." sqref="D2:D1000"/>
    <dataValidation type="none" allowBlank="1" showInputMessage="1" showErrorMessage="0" promptTitle="Description" prompt="One or two lines, drawn inside the box on the diagrams. Longer than about 120 characters and it gets cut on the drawing." sqref="E2:E1000"/>
    <dataValidation type="none" allowBlank="1" showInputMessage="1" showErrorMessage="0" promptTitle="Comments" prompt="Anything worth keeping that has no column of its own. Carried through to the exports, never drawn." sqref="F2:F1000"/>
  </dataValidations>
  <ignoredErrors>
    <ignoredError numberStoredAsText="1" sqref="A1:H17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 activeCell="A2" sqref="A2"/>
    </sheetView>
  </sheetViews>
  <cols>
    <col min="1" max="1" width="24.83203125" customWidth="1"/>
    <col min="2" max="2" width="16.83203125" customWidth="1"/>
  </cols>
  <sheetData>
    <row r="1">
      <c r="A1" t="str" s="5">
        <v>Group</v>
      </c>
      <c r="B1" t="str" s="5">
        <v>Perimeter</v>
      </c>
    </row>
    <row r="2">
      <c r="A2" t="str">
        <v>Core</v>
      </c>
      <c r="B2" t="str">
        <v>Platform</v>
      </c>
    </row>
    <row r="3">
      <c r="A3" t="str">
        <v>Sales network</v>
      </c>
      <c r="B3" t="str">
        <v>External</v>
      </c>
    </row>
    <row r="4">
      <c r="A4" t="str">
        <v>Health partners</v>
      </c>
      <c r="B4" t="str">
        <v>External</v>
      </c>
    </row>
    <row r="5">
      <c r="A5" t="str">
        <v>Institutional</v>
      </c>
      <c r="B5" t="str">
        <v>External</v>
      </c>
    </row>
    <row r="6">
      <c r="A6" t="str">
        <v>Support</v>
      </c>
      <c r="B6" t="str">
        <v>External</v>
      </c>
    </row>
  </sheetData>
  <dataValidations count="2">
    <dataValidation type="list" allowBlank="1" showInputMessage="1" showErrorMessage="0" promptTitle="Group" prompt="The group this component belongs to. The group carries the perimeter — Platform or External — so everything it holds follows." sqref="A2:A1000">
      <formula1>L_RefGroupe</formula1>
    </dataValidation>
    <dataValidation type="list" allowBlank="1" showInputMessage="1" showErrorMessage="1" promptTitle="Perimeter" prompt="Platform for what the team owns, External for the rest. This is what decides how the group is drawn." sqref="B2:B1000">
      <formula1>L_Perimetre</formula1>
    </dataValidation>
  </dataValidations>
  <ignoredErrors>
    <ignoredError numberStoredAsText="1" sqref="A1:B6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</cols>
  <sheetData>
    <row r="1">
      <c r="A1" t="str" s="5">
        <v>Milestone</v>
      </c>
      <c r="B1" t="str" s="5">
        <v>Rank</v>
      </c>
      <c r="C1" t="str" s="5">
        <v>Label</v>
      </c>
      <c r="D1" t="str" s="5">
        <v>Status</v>
      </c>
      <c r="E1" t="str" s="5">
        <v>Date</v>
      </c>
      <c r="F1" t="str" s="5">
        <v>Description</v>
      </c>
    </row>
    <row r="2">
      <c r="A2" t="str">
        <v>v1</v>
      </c>
      <c r="B2" t="str">
        <v>1</v>
      </c>
      <c r="C2" t="str">
        <v>Initial platform</v>
      </c>
      <c r="D2" t="str">
        <v>Delivered</v>
      </c>
      <c r="E2" t="str">
        <v>2026-01-15</v>
      </c>
      <c r="F2" t="str">
        <v>Platform and policies go live</v>
      </c>
    </row>
    <row r="3">
      <c r="A3" t="str">
        <v>v2</v>
      </c>
      <c r="B3" t="str">
        <v>2</v>
      </c>
      <c r="C3" t="str">
        <v>Opening to partners</v>
      </c>
      <c r="D3" t="str">
        <v>Delivered</v>
      </c>
      <c r="E3" t="str">
        <v>2026-06-01</v>
      </c>
      <c r="F3" t="str">
        <v>Care statements and outsourced payroll</v>
      </c>
    </row>
    <row r="4">
      <c r="A4" t="str">
        <v>v3</v>
      </c>
      <c r="B4" t="str">
        <v>3</v>
      </c>
      <c r="C4" t="str">
        <v>Real time</v>
      </c>
      <c r="D4" t="str">
        <v>Planned</v>
      </c>
      <c r="E4" t="str">
        <v>2026-12-01</v>
      </c>
      <c r="F4" t="str">
        <v>Lookups move to version 2</v>
      </c>
    </row>
  </sheetData>
  <dataValidations count="6">
    <dataValidation type="none" allowBlank="1" showInputMessage="1" showErrorMessage="0" promptTitle="Milestone" prompt="The name you will use in the Introduced at and Retired at columns everywhere else. Keep it short: it is shown on every diagram." sqref="A2:A1000"/>
    <dataValidation type="none" allowBlank="1" showInputMessage="1" showErrorMessage="0" promptTitle="Rank" prompt="A whole number giving the order of milestones. It is the rank that orders the timeline, not the date." sqref="B2:B1000"/>
    <dataValidation type="none" allowBlank="1" showInputMessage="1" showErrorMessage="0" promptTitle="Label" prompt="The milestone's readable name, shown next to it in the tool." sqref="C2:C1000"/>
    <dataValidation type="none" allowBlank="1" showInputMessage="1" showErrorMessage="0" promptTitle="Status" prompt="Where this milestone stands. The default milestone shown is the delivered one with the highest rank." sqref="D2:D1000"/>
    <dataValidation type="none" allowBlank="1" showInputMessage="1" showErrorMessage="0" promptTitle="Date" prompt="When the milestone happens. Informative: it is Rank that decides the order." sqref="E2:E1000"/>
    <dataValidation type="none" allowBlank="1" showInputMessage="1" showErrorMessage="0" promptTitle="Description" prompt="One or two lines, drawn inside the box on the diagrams. Longer than about 120 characters and it gets cut on the drawing." sqref="F2:F1000"/>
  </dataValidations>
  <ignoredErrors>
    <ignoredError numberStoredAsText="1" sqref="A1:F4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18.83203125" customWidth="1"/>
    <col min="3" max="3" width="14.83203125" customWidth="1"/>
  </cols>
  <sheetData>
    <row r="1">
      <c r="A1" t="str" s="5">
        <v>Actor type</v>
      </c>
      <c r="B1" t="str" s="5">
        <v>Icon</v>
      </c>
      <c r="C1" t="str" s="5">
        <v>Nature</v>
      </c>
    </row>
    <row r="2">
      <c r="A2" t="str">
        <v>Application</v>
      </c>
      <c r="B2" t="str">
        <f>IFERROR(INDEX(RefActorTypes!$B:$B,MATCH($A2,RefActorTypes!$A:$A,0)),"")</f>
        <v>app-window</v>
      </c>
      <c r="C2" t="str">
        <f>IFERROR(INDEX(RefActorTypes!$C:$C,MATCH($A2,RefActorTypes!$A:$A,0)),"")</f>
        <v>Business</v>
      </c>
    </row>
    <row r="3">
      <c r="A3" t="str">
        <v>Service</v>
      </c>
      <c r="B3" t="str">
        <f>IFERROR(INDEX(RefActorTypes!$B:$B,MATCH($A3,RefActorTypes!$A:$A,0)),"")</f>
        <v>cog</v>
      </c>
      <c r="C3" t="str">
        <f>IFERROR(INDEX(RefActorTypes!$C:$C,MATCH($A3,RefActorTypes!$A:$A,0)),"")</f>
        <v>Business</v>
      </c>
    </row>
    <row r="4">
      <c r="A4" t="str">
        <v>Packaged product</v>
      </c>
      <c r="B4" t="str">
        <f>IFERROR(INDEX(RefActorTypes!$B:$B,MATCH($A4,RefActorTypes!$A:$A,0)),"")</f>
        <v>package</v>
      </c>
      <c r="C4" t="str">
        <f>IFERROR(INDEX(RefActorTypes!$C:$C,MATCH($A4,RefActorTypes!$A:$A,0)),"")</f>
        <v>Business</v>
      </c>
    </row>
    <row r="5">
      <c r="A5" t="str">
        <v>Partner</v>
      </c>
      <c r="B5" t="str">
        <f>IFERROR(INDEX(RefActorTypes!$B:$B,MATCH($A5,RefActorTypes!$A:$A,0)),"")</f>
        <v>handshake</v>
      </c>
      <c r="C5" t="str">
        <f>IFERROR(INDEX(RefActorTypes!$C:$C,MATCH($A5,RefActorTypes!$A:$A,0)),"")</f>
        <v>Business</v>
      </c>
    </row>
    <row r="6">
      <c r="A6" t="str">
        <v>Person</v>
      </c>
      <c r="B6" t="str">
        <f>IFERROR(INDEX(RefActorTypes!$B:$B,MATCH($A6,RefActorTypes!$A:$A,0)),"")</f>
        <v>user</v>
      </c>
      <c r="C6" t="str">
        <f>IFERROR(INDEX(RefActorTypes!$C:$C,MATCH($A6,RefActorTypes!$A:$A,0)),"")</f>
        <v>Business</v>
      </c>
    </row>
    <row r="7">
      <c r="A7" t="str">
        <v>Infrastructure</v>
      </c>
      <c r="B7" t="str">
        <f>IFERROR(INDEX(RefActorTypes!$B:$B,MATCH($A7,RefActorTypes!$A:$A,0)),"")</f>
        <v>server</v>
      </c>
      <c r="C7" t="str">
        <f>IFERROR(INDEX(RefActorTypes!$C:$C,MATCH($A7,RefActorTypes!$A:$A,0)),"")</f>
        <v>Middleware</v>
      </c>
    </row>
    <row r="8">
      <c r="A8" t="str">
        <v>Object storage</v>
      </c>
      <c r="B8" t="str">
        <f>IFERROR(INDEX(RefActorTypes!$B:$B,MATCH($A8,RefActorTypes!$A:$A,0)),"")</f>
        <v>database</v>
      </c>
      <c r="C8" t="str">
        <f>IFERROR(INDEX(RefActorTypes!$C:$C,MATCH($A8,RefActorTypes!$A:$A,0)),"")</f>
        <v>Storage</v>
      </c>
    </row>
  </sheetData>
  <dataValidations count="3">
    <dataValidation type="list" allowBlank="1" showInputMessage="1" showErrorMessage="0" promptTitle="Actor type" prompt="Declared on the ActorTypes sheet; its icon and its nature — Business, Middleware or Storage — are read from the referential." sqref="A2:A1000">
      <formula1>L_RefTypeActeur</formula1>
    </dataValidation>
    <dataValidation type="none" allowBlank="1" showInputMessage="1" showErrorMessage="0" promptTitle="Icon" prompt="Read from the referential for this type. Not entered here: Excel puts the formula back. Change it in the referential, then drop the referential on the tool with this workbook." sqref="B2:B1000"/>
    <dataValidation type="none" allowBlank="1" showInputMessage="1" showErrorMessage="0" promptTitle="Nature" prompt="Read from the referential: Business, Middleware or Storage. A middleware is crossed in the functional reading, its flows joined end to end; a storage is where the data stops. Change it in the referential, then drop that on the tool with this workbook." sqref="C2:C1000"/>
  </dataValidations>
  <ignoredErrors>
    <ignoredError numberStoredAsText="1" sqref="A1:C8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26.83203125" customWidth="1"/>
    <col min="3" max="3" width="62.83203125" customWidth="1"/>
    <col min="4" max="4" width="14.83203125" customWidth="1"/>
  </cols>
  <sheetData>
    <row r="1">
      <c r="A1" t="str" s="5">
        <v>Flow type</v>
      </c>
      <c r="B1" t="str" s="5">
        <v>Direction</v>
      </c>
      <c r="C1" t="str" s="5">
        <v>Description</v>
      </c>
      <c r="D1" t="str">
        <v>Colour</v>
      </c>
    </row>
    <row r="2">
      <c r="A2" t="str">
        <v>HTTP</v>
      </c>
      <c r="B2" t="str">
        <f>IFERROR(INDEX(RefTechnologies!$B:$B,MATCH($A2,RefTechnologies!$A:$A,0)),"")</f>
        <v>consumer → provider</v>
      </c>
      <c r="C2" t="str">
        <f>IFERROR(INDEX(RefTechnologies!$C:$C,MATCH($A2,RefTechnologies!$A:$A,0)),"")</f>
        <v>Direct HTTP call, REST or SOAP</v>
      </c>
      <c r="D2" t="str">
        <f>IFERROR(INDEX(RefTechnologies!$D:$D,MATCH($A2,RefTechnologies!$A:$A,0)),"")</f>
        <v/>
      </c>
    </row>
    <row r="3">
      <c r="A3" t="str">
        <v>gRPC</v>
      </c>
      <c r="B3" t="str">
        <f>IFERROR(INDEX(RefTechnologies!$B:$B,MATCH($A3,RefTechnologies!$A:$A,0)),"")</f>
        <v>consumer → provider</v>
      </c>
      <c r="C3" t="str">
        <f>IFERROR(INDEX(RefTechnologies!$C:$C,MATCH($A3,RefTechnologies!$A:$A,0)),"")</f>
        <v>Remote procedure call</v>
      </c>
      <c r="D3" t="str">
        <f>IFERROR(INDEX(RefTechnologies!$D:$D,MATCH($A3,RefTechnologies!$A:$A,0)),"")</f>
        <v/>
      </c>
    </row>
    <row r="4">
      <c r="A4" t="str">
        <v>SQL</v>
      </c>
      <c r="B4" t="str">
        <f>IFERROR(INDEX(RefTechnologies!$B:$B,MATCH($A4,RefTechnologies!$A:$A,0)),"")</f>
        <v>consumer → provider</v>
      </c>
      <c r="C4" t="str">
        <f>IFERROR(INDEX(RefTechnologies!$C:$C,MATCH($A4,RefTechnologies!$A:$A,0)),"")</f>
        <v>Direct database access</v>
      </c>
      <c r="D4" t="str">
        <f>IFERROR(INDEX(RefTechnologies!$D:$D,MATCH($A4,RefTechnologies!$A:$A,0)),"")</f>
        <v/>
      </c>
    </row>
    <row r="5">
      <c r="A5" t="str">
        <v>Kafka</v>
      </c>
      <c r="B5" t="str">
        <f>IFERROR(INDEX(RefTechnologies!$B:$B,MATCH($A5,RefTechnologies!$A:$A,0)),"")</f>
        <v>provider → consumer</v>
      </c>
      <c r="C5" t="str">
        <f>IFERROR(INDEX(RefTechnologies!$C:$C,MATCH($A5,RefTechnologies!$A:$A,0)),"")</f>
        <v>Event publication — drawn as a push from the producer</v>
      </c>
      <c r="D5" t="str">
        <f>IFERROR(INDEX(RefTechnologies!$D:$D,MATCH($A5,RefTechnologies!$A:$A,0)),"")</f>
        <v/>
      </c>
    </row>
    <row r="6">
      <c r="A6" t="str">
        <v>JMS</v>
      </c>
      <c r="B6" t="str">
        <f>IFERROR(INDEX(RefTechnologies!$B:$B,MATCH($A6,RefTechnologies!$A:$A,0)),"")</f>
        <v>provider → consumer</v>
      </c>
      <c r="C6" t="str">
        <f>IFERROR(INDEX(RefTechnologies!$C:$C,MATCH($A6,RefTechnologies!$A:$A,0)),"")</f>
        <v>Message queue — drawn as a push from the sender</v>
      </c>
      <c r="D6" t="str">
        <f>IFERROR(INDEX(RefTechnologies!$D:$D,MATCH($A6,RefTechnologies!$A:$A,0)),"")</f>
        <v/>
      </c>
    </row>
    <row r="7">
      <c r="A7" t="str">
        <v>File</v>
      </c>
      <c r="B7" t="str">
        <f>IFERROR(INDEX(RefTechnologies!$B:$B,MATCH($A7,RefTechnologies!$A:$A,0)),"")</f>
        <v>provider → consumer</v>
      </c>
      <c r="C7" t="str">
        <f>IFERROR(INDEX(RefTechnologies!$C:$C,MATCH($A7,RefTechnologies!$A:$A,0)),"")</f>
        <v>File exchange</v>
      </c>
      <c r="D7" t="str">
        <f>IFERROR(INDEX(RefTechnologies!$D:$D,MATCH($A7,RefTechnologies!$A:$A,0)),"")</f>
        <v/>
      </c>
    </row>
    <row r="8">
      <c r="A8" t="str">
        <v>SFTP</v>
      </c>
      <c r="B8" t="str">
        <f>IFERROR(INDEX(RefTechnologies!$B:$B,MATCH($A8,RefTechnologies!$A:$A,0)),"")</f>
        <v>provider → consumer</v>
      </c>
      <c r="C8" t="str">
        <f>IFERROR(INDEX(RefTechnologies!$C:$C,MATCH($A8,RefTechnologies!$A:$A,0)),"")</f>
        <v>File transfer over SSH</v>
      </c>
      <c r="D8" t="str">
        <f>IFERROR(INDEX(RefTechnologies!$D:$D,MATCH($A8,RefTechnologies!$A:$A,0)),"")</f>
        <v/>
      </c>
    </row>
    <row r="9">
      <c r="A9" t="str">
        <v>Object storage (S3)</v>
      </c>
      <c r="B9" t="str">
        <f>IFERROR(INDEX(RefTechnologies!$B:$B,MATCH($A9,RefTechnologies!$A:$A,0)),"")</f>
        <v>consumer → provider</v>
      </c>
      <c r="C9" t="str">
        <f>IFERROR(INDEX(RefTechnologies!$C:$C,MATCH($A9,RefTechnologies!$A:$A,0)),"")</f>
        <v>Read from or write to a bucket</v>
      </c>
      <c r="D9" t="str">
        <f>IFERROR(INDEX(RefTechnologies!$D:$D,MATCH($A9,RefTechnologies!$A:$A,0)),"")</f>
        <v/>
      </c>
    </row>
    <row r="10">
      <c r="A10" t="str">
        <v>LDAP</v>
      </c>
      <c r="B10" t="str">
        <f>IFERROR(INDEX(RefTechnologies!$B:$B,MATCH($A10,RefTechnologies!$A:$A,0)),"")</f>
        <v>consumer → provider</v>
      </c>
      <c r="C10" t="str">
        <f>IFERROR(INDEX(RefTechnologies!$C:$C,MATCH($A10,RefTechnologies!$A:$A,0)),"")</f>
        <v>Directory lookup</v>
      </c>
      <c r="D10" t="str">
        <f>IFERROR(INDEX(RefTechnologies!$D:$D,MATCH($A10,RefTechnologies!$A:$A,0)),"")</f>
        <v/>
      </c>
    </row>
    <row r="11">
      <c r="A11" t="str">
        <v>SMTP</v>
      </c>
      <c r="B11" t="str">
        <f>IFERROR(INDEX(RefTechnologies!$B:$B,MATCH($A11,RefTechnologies!$A:$A,0)),"")</f>
        <v>provider → consumer</v>
      </c>
      <c r="C11" t="str">
        <f>IFERROR(INDEX(RefTechnologies!$C:$C,MATCH($A11,RefTechnologies!$A:$A,0)),"")</f>
        <v>Sending email</v>
      </c>
      <c r="D11" t="str">
        <f>IFERROR(INDEX(RefTechnologies!$D:$D,MATCH($A11,RefTechnologies!$A:$A,0)),"")</f>
        <v/>
      </c>
    </row>
    <row r="12">
      <c r="A12" t="str">
        <v>Syslog</v>
      </c>
      <c r="B12" t="str">
        <f>IFERROR(INDEX(RefTechnologies!$B:$B,MATCH($A12,RefTechnologies!$A:$A,0)),"")</f>
        <v>provider → consumer</v>
      </c>
      <c r="C12" t="str">
        <f>IFERROR(INDEX(RefTechnologies!$C:$C,MATCH($A12,RefTechnologies!$A:$A,0)),"")</f>
        <v>Log shipping to a collector</v>
      </c>
      <c r="D12" t="str">
        <f>IFERROR(INDEX(RefTechnologies!$D:$D,MATCH($A12,RefTechnologies!$A:$A,0)),"")</f>
        <v/>
      </c>
    </row>
    <row r="13">
      <c r="A13" t="str">
        <v>NTP</v>
      </c>
      <c r="B13" t="str">
        <f>IFERROR(INDEX(RefTechnologies!$B:$B,MATCH($A13,RefTechnologies!$A:$A,0)),"")</f>
        <v>consumer → provider</v>
      </c>
      <c r="C13" t="str">
        <f>IFERROR(INDEX(RefTechnologies!$C:$C,MATCH($A13,RefTechnologies!$A:$A,0)),"")</f>
        <v>Time synchronisation</v>
      </c>
      <c r="D13" t="str">
        <f>IFERROR(INDEX(RefTechnologies!$D:$D,MATCH($A13,RefTechnologies!$A:$A,0)),"")</f>
        <v/>
      </c>
    </row>
    <row r="14">
      <c r="A14" t="str">
        <v>Screen entry</v>
      </c>
      <c r="B14" t="str">
        <f>IFERROR(INDEX(RefTechnologies!$B:$B,MATCH($A14,RefTechnologies!$A:$A,0)),"")</f>
        <v>consumer → provider</v>
      </c>
      <c r="C14" t="str">
        <f>IFERROR(INDEX(RefTechnologies!$C:$C,MATCH($A14,RefTechnologies!$A:$A,0)),"")</f>
        <v>Human entry on a screen the provider exposes</v>
      </c>
      <c r="D14" t="str">
        <f>IFERROR(INDEX(RefTechnologies!$D:$D,MATCH($A14,RefTechnologies!$A:$A,0)),"")</f>
        <v/>
      </c>
    </row>
    <row r="15">
      <c r="A15" t="str">
        <v>Screen lookup</v>
      </c>
      <c r="B15" t="str">
        <f>IFERROR(INDEX(RefTechnologies!$B:$B,MATCH($A15,RefTechnologies!$A:$A,0)),"")</f>
        <v>provider → consumer</v>
      </c>
      <c r="C15" t="str">
        <f>IFERROR(INDEX(RefTechnologies!$C:$C,MATCH($A15,RefTechnologies!$A:$A,0)),"")</f>
        <v>Human reading on a screen the provider exposes</v>
      </c>
      <c r="D15" t="str">
        <f>IFERROR(INDEX(RefTechnologies!$D:$D,MATCH($A15,RefTechnologies!$A:$A,0)),"")</f>
        <v/>
      </c>
    </row>
    <row r="16">
      <c r="A16" t="str">
        <v>Manual</v>
      </c>
      <c r="B16" t="str">
        <f>IFERROR(INDEX(RefTechnologies!$B:$B,MATCH($A16,RefTechnologies!$A:$A,0)),"")</f>
        <v>provider → consumer</v>
      </c>
      <c r="C16" t="str">
        <f>IFERROR(INDEX(RefTechnologies!$C:$C,MATCH($A16,RefTechnologies!$A:$A,0)),"")</f>
        <v>Human hand-off, outside any system</v>
      </c>
      <c r="D16" t="str">
        <f>IFERROR(INDEX(RefTechnologies!$D:$D,MATCH($A16,RefTechnologies!$A:$A,0)),"")</f>
        <v/>
      </c>
    </row>
    <row r="17">
      <c r="A17" t="str">
        <v>Proprietary</v>
      </c>
      <c r="B17" t="str">
        <f>IFERROR(INDEX(RefTechnologies!$B:$B,MATCH($A17,RefTechnologies!$A:$A,0)),"")</f>
        <v>consumer → provider</v>
      </c>
      <c r="C17" t="str">
        <f>IFERROR(INDEX(RefTechnologies!$C:$C,MATCH($A17,RefTechnologies!$A:$A,0)),"")</f>
        <v>Protocol specific to a packaged product</v>
      </c>
      <c r="D17" t="str">
        <f>IFERROR(INDEX(RefTechnologies!$D:$D,MATCH($A17,RefTechnologies!$A:$A,0)),"")</f>
        <v/>
      </c>
    </row>
  </sheetData>
  <dataValidations count="4">
    <dataValidation type="list" allowBlank="1" showInputMessage="1" showErrorMessage="0" promptTitle="Flow type" prompt="The technology this interface travels over. Declared on the FlowTypes sheet, which also sets which way the arrow is drawn." sqref="A2:A1000">
      <formula1>L_RefTypeFlux</formula1>
    </dataValidation>
    <dataValidation type="none" allowBlank="1" showInputMessage="1" showErrorMessage="0" promptTitle="Direction" prompt="Read from the referential: which way the arrow is drawn for this technology, on every diagram. Change it in the referential, then drop the referential on the tool with this workbook." sqref="B2:B1000"/>
    <dataValidation type="none" allowBlank="1" showInputMessage="1" showErrorMessage="0" promptTitle="Description" prompt="Read from the referential." sqref="C2:C1000"/>
    <dataValidation type="none" allowBlank="1" showInputMessage="1" showErrorMessage="0" promptTitle="Colour" prompt="Read from the referential, in hexadecimal. Empty, the palette picks one." sqref="D2:D1000"/>
  </dataValidations>
  <ignoredErrors>
    <ignoredError numberStoredAsText="1" sqref="A1:D17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K19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2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 s="5">
        <v>Flow name</v>
      </c>
      <c r="B1" t="str" s="5">
        <v>Version</v>
      </c>
      <c r="C1" t="str" s="5">
        <v>Provider</v>
      </c>
      <c r="D1" t="str" s="5">
        <v>Flow type</v>
      </c>
      <c r="E1" t="str" s="5">
        <v>Description</v>
      </c>
      <c r="F1" t="str" s="5">
        <v>Contract link</v>
      </c>
      <c r="G1" t="str" s="5">
        <v>Contract reference</v>
      </c>
      <c r="H1" t="str" s="5">
        <v>Comments</v>
      </c>
      <c r="I1" t="str" s="5">
        <v>To confirm</v>
      </c>
      <c r="J1" t="str" s="5">
        <v>Introduced at</v>
      </c>
      <c r="K1" t="str" s="5">
        <v>Retired at</v>
      </c>
    </row>
    <row r="2">
      <c r="A2" t="str">
        <v>Member lookup</v>
      </c>
      <c r="B2" t="str">
        <v>1.0</v>
      </c>
      <c r="C2" t="str">
        <v>Takodana</v>
      </c>
      <c r="D2" t="str">
        <v>HTTP</v>
      </c>
      <c r="E2" t="str">
        <v>Reading a member record</v>
      </c>
      <c r="F2" t="str">
        <v>https://contrats.interne/adherent</v>
      </c>
      <c r="G2" t="str">
        <v>CTR-ADH-01</v>
      </c>
      <c r="H2" t="str">
        <v/>
      </c>
      <c r="I2" t="str">
        <v>No</v>
      </c>
      <c r="J2" t="str">
        <v>v1</v>
      </c>
      <c r="K2" t="str">
        <v>v3</v>
      </c>
    </row>
    <row r="3">
      <c r="A3" t="str">
        <v>Member lookup</v>
      </c>
      <c r="B3" t="str">
        <v>2.0</v>
      </c>
      <c r="C3" t="str">
        <v>Takodana</v>
      </c>
      <c r="D3" t="str">
        <v>HTTP</v>
      </c>
      <c r="E3" t="str">
        <v>Reading a member record, enriched format</v>
      </c>
      <c r="F3" t="str">
        <v>https://contrats.interne/adherent-v2</v>
      </c>
      <c r="G3" t="str">
        <v>CTR-ADH-01</v>
      </c>
      <c r="H3" t="str">
        <v/>
      </c>
      <c r="I3" t="str">
        <v>No</v>
      </c>
      <c r="J3" t="str">
        <v>v2</v>
      </c>
      <c r="K3" t="str">
        <v/>
      </c>
    </row>
    <row r="4">
      <c r="A4" t="str">
        <v>Premium calculation</v>
      </c>
      <c r="B4" t="str">
        <v>1.0</v>
      </c>
      <c r="C4" t="str">
        <v>Sullust</v>
      </c>
      <c r="D4" t="str">
        <v>HTTP</v>
      </c>
      <c r="E4" t="str">
        <v>Premium computed from a profile</v>
      </c>
      <c r="F4" t="str">
        <v>https://contrats.interne/cotisation</v>
      </c>
      <c r="G4" t="str">
        <v>CTR-COT-02</v>
      </c>
      <c r="H4" t="str">
        <v/>
      </c>
      <c r="I4" t="str">
        <v>No</v>
      </c>
      <c r="J4" t="str">
        <v>v1</v>
      </c>
      <c r="K4" t="str">
        <v/>
      </c>
    </row>
    <row r="5">
      <c r="A5" t="str">
        <v>Subscription</v>
      </c>
      <c r="B5" t="str">
        <v>1.0</v>
      </c>
      <c r="C5" t="str">
        <v>Chandrila</v>
      </c>
      <c r="D5" t="str">
        <v>HTTP</v>
      </c>
      <c r="E5" t="str">
        <v>Creating and amending a policy</v>
      </c>
      <c r="F5" t="str">
        <v>https://contrats.interne/souscription</v>
      </c>
      <c r="G5" t="str">
        <v>CTR-SOU-03</v>
      </c>
      <c r="H5" t="str">
        <v/>
      </c>
      <c r="I5" t="str">
        <v>No</v>
      </c>
      <c r="J5" t="str">
        <v>v1</v>
      </c>
      <c r="K5" t="str">
        <v/>
      </c>
    </row>
    <row r="6">
      <c r="A6" t="str">
        <v>Policy events</v>
      </c>
      <c r="B6" t="str">
        <v>1.0</v>
      </c>
      <c r="C6" t="str">
        <v>Chandrila</v>
      </c>
      <c r="D6" t="str">
        <v>Kafka</v>
      </c>
      <c r="E6" t="str">
        <v>Publishing policy changes</v>
      </c>
      <c r="F6" t="str">
        <v>https://contrats.interne/vie-contrat</v>
      </c>
      <c r="G6" t="str">
        <v>CTR-VIE-04</v>
      </c>
      <c r="H6" t="str">
        <v/>
      </c>
      <c r="I6" t="str">
        <v>No</v>
      </c>
      <c r="J6" t="str">
        <v>v1</v>
      </c>
      <c r="K6" t="str">
        <v/>
      </c>
    </row>
    <row r="7">
      <c r="A7" t="str">
        <v>Raw statement</v>
      </c>
      <c r="B7" t="str">
        <v>1.0</v>
      </c>
      <c r="C7" t="str">
        <v>Ilum</v>
      </c>
      <c r="D7" t="str">
        <v>File</v>
      </c>
      <c r="E7" t="str">
        <v>Statement file dropped by the care facility</v>
      </c>
      <c r="F7" t="str">
        <v>https://contrats.interne/decompte-brut</v>
      </c>
      <c r="G7" t="str">
        <v>CTR-DEC-05</v>
      </c>
      <c r="H7" t="str">
        <v/>
      </c>
      <c r="I7" t="str">
        <v>No</v>
      </c>
      <c r="J7" t="str">
        <v>v1</v>
      </c>
      <c r="K7" t="str">
        <v/>
      </c>
    </row>
    <row r="8">
      <c r="A8" t="str">
        <v>Care statement</v>
      </c>
      <c r="B8" t="str">
        <v>1.0</v>
      </c>
      <c r="C8" t="str">
        <v>Malastare</v>
      </c>
      <c r="D8" t="str">
        <v>File</v>
      </c>
      <c r="E8" t="str">
        <v>Statements normalised for the policy system</v>
      </c>
      <c r="F8" t="str">
        <v>https://contrats.interne/decompte</v>
      </c>
      <c r="G8" t="str">
        <v>CTR-DEC-06</v>
      </c>
      <c r="H8" t="str">
        <v/>
      </c>
      <c r="I8" t="str">
        <v>No</v>
      </c>
      <c r="J8" t="str">
        <v>v1</v>
      </c>
      <c r="K8" t="str">
        <v/>
      </c>
    </row>
    <row r="9">
      <c r="A9" t="str">
        <v>Policy stream</v>
      </c>
      <c r="B9" t="str">
        <v>1.0</v>
      </c>
      <c r="C9" t="str">
        <v>Malastare</v>
      </c>
      <c r="D9" t="str">
        <v>Kafka</v>
      </c>
      <c r="E9" t="str">
        <v>Policy changes republished to partners</v>
      </c>
      <c r="F9" t="str">
        <v>https://contrats.interne/flux-contrat</v>
      </c>
      <c r="G9" t="str">
        <v>CTR-VIE-10</v>
      </c>
      <c r="H9" t="str">
        <v/>
      </c>
      <c r="I9" t="str">
        <v>No</v>
      </c>
      <c r="J9" t="str">
        <v>v1</v>
      </c>
      <c r="K9" t="str">
        <v/>
      </c>
    </row>
    <row r="10">
      <c r="A10" t="str">
        <v>Supporting documents</v>
      </c>
      <c r="B10" t="str">
        <v>1.0</v>
      </c>
      <c r="C10" t="str">
        <v>Onderon</v>
      </c>
      <c r="D10" t="str">
        <v>SFTP</v>
      </c>
      <c r="E10" t="str">
        <v>Documents delivered for archiving</v>
      </c>
      <c r="F10" t="str">
        <v>https://contrats.interne/pieces</v>
      </c>
      <c r="G10" t="str">
        <v>CTR-PIE-06</v>
      </c>
      <c r="H10" t="str">
        <v/>
      </c>
      <c r="I10" t="str">
        <v>No</v>
      </c>
      <c r="J10" t="str">
        <v>v1</v>
      </c>
      <c r="K10" t="str">
        <v/>
      </c>
    </row>
    <row r="11">
      <c r="A11" t="str">
        <v>Member mail</v>
      </c>
      <c r="B11" t="str">
        <v>1.0</v>
      </c>
      <c r="C11" t="str">
        <v>Rodia</v>
      </c>
      <c r="D11" t="str">
        <v>SMTP</v>
      </c>
      <c r="E11" t="str">
        <v>Emails sent to members</v>
      </c>
      <c r="F11" t="str">
        <v>https://contrats.interne/courrier</v>
      </c>
      <c r="G11" t="str">
        <v>CTR-COU-07</v>
      </c>
      <c r="H11" t="str">
        <v/>
      </c>
      <c r="I11" t="str">
        <v>No</v>
      </c>
      <c r="J11" t="str">
        <v>v1</v>
      </c>
      <c r="K11" t="str">
        <v/>
      </c>
    </row>
    <row r="12">
      <c r="A12" t="str">
        <v>Daily statements</v>
      </c>
      <c r="B12" t="str">
        <v>1.0</v>
      </c>
      <c r="C12" t="str">
        <v>Chandrila</v>
      </c>
      <c r="D12" t="str">
        <v>File</v>
      </c>
      <c r="E12" t="str">
        <v>Daily statement file dropped for archiving</v>
      </c>
      <c r="F12" t="str">
        <v>https://contrats.interne/releves</v>
      </c>
      <c r="G12" t="str">
        <v>CTR-REL-16</v>
      </c>
      <c r="H12" t="str">
        <v/>
      </c>
      <c r="I12" t="str">
        <v>No</v>
      </c>
      <c r="J12" t="str">
        <v>v1</v>
      </c>
      <c r="K12" t="str">
        <v/>
      </c>
    </row>
    <row r="13">
      <c r="A13" t="str">
        <v>Regulatory return</v>
      </c>
      <c r="B13" t="str">
        <v>1.0</v>
      </c>
      <c r="C13" t="str">
        <v>Onderon</v>
      </c>
      <c r="D13" t="str">
        <v>File</v>
      </c>
      <c r="E13" t="str">
        <v>Periodic extract for the regulator</v>
      </c>
      <c r="F13" t="str">
        <v>https://contrats.interne/etat</v>
      </c>
      <c r="G13" t="str">
        <v>CTR-ETA-08</v>
      </c>
      <c r="H13" t="str">
        <v>Scope to confirm</v>
      </c>
      <c r="I13" t="str">
        <v>Yes</v>
      </c>
      <c r="J13" t="str">
        <v>v1</v>
      </c>
      <c r="K13" t="str">
        <v/>
      </c>
    </row>
    <row r="14">
      <c r="A14" t="str">
        <v>Payslips</v>
      </c>
      <c r="B14" t="str">
        <v>1.0</v>
      </c>
      <c r="C14" t="str">
        <v>Vjun</v>
      </c>
      <c r="D14" t="str">
        <v>SFTP</v>
      </c>
      <c r="E14" t="str">
        <v>Monthly payslip delivery</v>
      </c>
      <c r="F14" t="str">
        <v>https://contrats.interne/paie</v>
      </c>
      <c r="G14" t="str">
        <v>CTR-PAI-09</v>
      </c>
      <c r="H14" t="str">
        <v/>
      </c>
      <c r="I14" t="str">
        <v>No</v>
      </c>
      <c r="J14" t="str">
        <v>v2</v>
      </c>
      <c r="K14" t="str">
        <v/>
      </c>
    </row>
    <row r="15">
      <c r="A15" t="str">
        <v>Policy notice</v>
      </c>
      <c r="B15" t="str">
        <v>1.0</v>
      </c>
      <c r="C15" t="str">
        <v>Chandrila</v>
      </c>
      <c r="D15" t="str">
        <v>Kafka</v>
      </c>
      <c r="E15" t="str">
        <v>Policy change notice for the sales network</v>
      </c>
      <c r="F15" t="str">
        <v>https://contrats.interne/avis</v>
      </c>
      <c r="G15" t="str">
        <v>CTR-AVI-11</v>
      </c>
      <c r="H15" t="str">
        <v/>
      </c>
      <c r="I15" t="str">
        <v>No</v>
      </c>
      <c r="J15" t="str">
        <v>v1</v>
      </c>
      <c r="K15" t="str">
        <v/>
      </c>
    </row>
    <row r="16">
      <c r="A16" t="str">
        <v>notice.stream</v>
      </c>
      <c r="B16" t="str">
        <v>1.0</v>
      </c>
      <c r="C16" t="str">
        <v>Kafka</v>
      </c>
      <c r="D16" t="str">
        <v>Kafka</v>
      </c>
      <c r="E16" t="str">
        <v>Notices republished on the broker topic</v>
      </c>
      <c r="F16" t="str">
        <v>https://contrats.interne/avis-topic</v>
      </c>
      <c r="G16" t="str">
        <v>CTR-AVI-12</v>
      </c>
      <c r="H16" t="str">
        <v/>
      </c>
      <c r="I16" t="str">
        <v>No</v>
      </c>
      <c r="J16" t="str">
        <v>v1</v>
      </c>
      <c r="K16" t="str">
        <v/>
      </c>
    </row>
    <row r="17">
      <c r="A17" t="str">
        <v>notice.norm</v>
      </c>
      <c r="B17" t="str">
        <v>1.0</v>
      </c>
      <c r="C17" t="str">
        <v>Dagobah</v>
      </c>
      <c r="D17" t="str">
        <v>HTTP</v>
      </c>
      <c r="E17" t="str">
        <v>Notices normalised to the partner contract</v>
      </c>
      <c r="F17" t="str">
        <v>https://contrats.interne/avis-norme</v>
      </c>
      <c r="G17" t="str">
        <v>CTR-AVI-13</v>
      </c>
      <c r="H17" t="str">
        <v/>
      </c>
      <c r="I17" t="str">
        <v>No</v>
      </c>
      <c r="J17" t="str">
        <v>v1</v>
      </c>
      <c r="K17" t="str">
        <v/>
      </c>
    </row>
    <row r="18">
      <c r="A18" t="str">
        <v>notice.out</v>
      </c>
      <c r="B18" t="str">
        <v>1.0</v>
      </c>
      <c r="C18" t="str">
        <v>ESB</v>
      </c>
      <c r="D18" t="str">
        <v>SFTP</v>
      </c>
      <c r="E18" t="str">
        <v>Notices delivered to the broker network</v>
      </c>
      <c r="F18" t="str">
        <v>https://contrats.interne/avis-sortie</v>
      </c>
      <c r="G18" t="str">
        <v>CTR-AVI-14</v>
      </c>
      <c r="H18" t="str">
        <v/>
      </c>
      <c r="I18" t="str">
        <v>No</v>
      </c>
      <c r="J18" t="str">
        <v>v1</v>
      </c>
      <c r="K18" t="str">
        <v/>
      </c>
    </row>
    <row r="19">
      <c r="A19" t="str">
        <v>events.core</v>
      </c>
      <c r="B19" t="str">
        <v>1.0</v>
      </c>
      <c r="C19" t="str">
        <v>Kafka</v>
      </c>
      <c r="D19" t="str">
        <v>Kafka</v>
      </c>
      <c r="E19" t="str">
        <v>Policy events republished for the platform</v>
      </c>
      <c r="F19" t="str">
        <v>https://contrats.interne/vie-socle</v>
      </c>
      <c r="G19" t="str">
        <v>CTR-VIE-15</v>
      </c>
      <c r="H19" t="str">
        <v/>
      </c>
      <c r="I19" t="str">
        <v>No</v>
      </c>
      <c r="J19" t="str">
        <v>v1</v>
      </c>
      <c r="K19" t="str">
        <v/>
      </c>
    </row>
  </sheetData>
  <dataValidations count="11">
    <dataValidation type="list" allowBlank="1" showInputMessage="1" showErrorMessage="1" promptTitle="Provider" prompt="The actor that PROVIDES this interface. It is what tells two interfaces of the same name apart, and it decides which FX_ sheet holds the consumptions." sqref="C2:C1000">
      <formula1>L_Acteur</formula1>
    </dataValidation>
    <dataValidation type="list" allowBlank="1" showInputMessage="1" showErrorMessage="1" promptTitle="Flow type" prompt="The technology this interface travels over. Declared on the FlowTypes sheet, which also sets which way the arrow is drawn." sqref="D2:D1000">
      <formula1>L_TypeFlux</formula1>
    </dataValidation>
    <dataValidation type="list" allowBlank="1" showInputMessage="1" showErrorMessage="1" promptTitle="To confirm" prompt="Yes when the interface is not certain. The report lists these separately so nothing gets asserted by mistake." sqref="I2:I1000">
      <formula1>L_Confirmation</formula1>
    </dataValidation>
    <dataValidation type="list" allowBlank="1" showInputMessage="1" showErrorMessage="1" promptTitle="Introduced at" prompt="A milestone from the Milestones sheet, the one this line appears at. Leave empty if it has always been there." sqref="J2:J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K2:K1000">
      <formula1>L_Palier</formula1>
    </dataValidation>
    <dataValidation type="none" allowBlank="1" showInputMessage="1" showErrorMessage="0" promptTitle="Interface" prompt="An interface exposed by this sheet's provider. Declare it on the Interfaces sheet first." sqref="A2:A1000"/>
    <dataValidation type="none" allowBlank="1" showInputMessage="1" showErrorMessage="0" promptTitle="Version" prompt="The contract's version, in whatever form your team uses. Free text: it is (provider, flow name, version) that identifies an interface, so two versions of one flow are two lines here." sqref="B2:B1000"/>
    <dataValidation type="none" allowBlank="1" showInputMessage="1" showErrorMessage="0" promptTitle="Description" prompt="One or two lines, drawn inside the box on the diagrams. Longer than about 120 characters and it gets cut on the drawing." sqref="E2:E1000"/>
    <dataValidation type="none" allowBlank="1" showInputMessage="1" showErrorMessage="0" promptTitle="Contract link" prompt="A URL to the contract or its documentation. It becomes a clickable link on the exported diagrams." sqref="F2:F1000"/>
    <dataValidation type="none" allowBlank="1" showInputMessage="1" showErrorMessage="0" promptTitle="Contract reference" prompt="The contract's reference in whatever registry holds it. Free text." sqref="G2:G1000"/>
    <dataValidation type="none" allowBlank="1" showInputMessage="1" showErrorMessage="0" promptTitle="Comments" prompt="Anything worth keeping that has no column of its own. Carried through to the exports, never drawn." sqref="H2:H1000"/>
  </dataValidations>
  <ignoredErrors>
    <ignoredError numberStoredAsText="1" sqref="A1:K19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Member lookup</v>
      </c>
      <c r="B2" t="str">
        <v>2.0</v>
      </c>
      <c r="C2" t="str">
        <v>Chandrila</v>
      </c>
      <c r="D2" t="str">
        <v>Checking entitlement before subscribing</v>
      </c>
      <c r="E2" t="str">
        <v>1 - Critical</v>
      </c>
      <c r="F2" t="str">
        <v>Keep</v>
      </c>
      <c r="G2" t="str">
        <v/>
      </c>
      <c r="H2" t="str">
        <v/>
      </c>
      <c r="I2" t="str">
        <v>v2</v>
      </c>
      <c r="J2" t="str">
        <v/>
      </c>
    </row>
    <row r="3">
      <c r="A3" t="str">
        <v>Member lookup</v>
      </c>
      <c r="B3" t="str">
        <v>2.0</v>
      </c>
      <c r="C3" t="str">
        <v>Rodia</v>
      </c>
      <c r="D3" t="str">
        <v>Displaying the member account</v>
      </c>
      <c r="E3" t="str">
        <v>1 - Critical</v>
      </c>
      <c r="F3" t="str">
        <v>Keep</v>
      </c>
      <c r="G3" t="str">
        <v/>
      </c>
      <c r="H3" t="str">
        <v/>
      </c>
      <c r="I3" t="str">
        <v>v2</v>
      </c>
      <c r="J3" t="str">
        <v/>
      </c>
    </row>
    <row r="4">
      <c r="A4" t="str">
        <v>Member lookup</v>
      </c>
      <c r="B4" t="str">
        <v>1.0</v>
      </c>
      <c r="C4" t="str">
        <v>Zeffo</v>
      </c>
      <c r="D4" t="str">
        <v>Pre-filling the journey</v>
      </c>
      <c r="E4" t="str">
        <v>2 - Important</v>
      </c>
      <c r="F4" t="str">
        <v>Keep</v>
      </c>
      <c r="G4" t="str">
        <v/>
      </c>
      <c r="H4" t="str">
        <v/>
      </c>
      <c r="I4" t="str">
        <v>v1</v>
      </c>
      <c r="J4" t="str">
        <v/>
      </c>
    </row>
    <row r="5">
      <c r="A5" t="str">
        <v>Member lookup</v>
      </c>
      <c r="B5" t="str">
        <v>1.0</v>
      </c>
      <c r="C5" t="str">
        <v>Crait</v>
      </c>
      <c r="D5" t="str">
        <v>Lookup during a call</v>
      </c>
      <c r="E5" t="str">
        <v>2 - Important</v>
      </c>
      <c r="F5" t="str">
        <v>Keep</v>
      </c>
      <c r="G5" t="str">
        <v/>
      </c>
      <c r="H5" t="str">
        <v/>
      </c>
      <c r="I5" t="str">
        <v>v1</v>
      </c>
      <c r="J5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5"/>
  </ignoredErrors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Premium calculation</v>
      </c>
      <c r="B2" t="str">
        <v>1.0</v>
      </c>
      <c r="C2" t="str">
        <v>Chandrila</v>
      </c>
      <c r="D2" t="str">
        <v>Premium carried onto the policy</v>
      </c>
      <c r="E2" t="str">
        <v>1 - Critical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  <row r="3">
      <c r="A3" t="str">
        <v>Premium calculation</v>
      </c>
      <c r="B3" t="str">
        <v>1.0</v>
      </c>
      <c r="C3" t="str">
        <v>Zeffo</v>
      </c>
      <c r="D3" t="str">
        <v>Online quote</v>
      </c>
      <c r="E3" t="str">
        <v>2 - Important</v>
      </c>
      <c r="F3" t="str">
        <v>Keep</v>
      </c>
      <c r="G3" t="str">
        <v/>
      </c>
      <c r="H3" t="str">
        <v/>
      </c>
      <c r="I3" t="str">
        <v>v1</v>
      </c>
      <c r="J3" t="str">
        <v/>
      </c>
    </row>
    <row r="4">
      <c r="A4" t="str">
        <v>Premium calculation</v>
      </c>
      <c r="B4" t="str">
        <v>1.0</v>
      </c>
      <c r="C4" t="str">
        <v>Bracca</v>
      </c>
      <c r="D4" t="str">
        <v>Quote shown to the client</v>
      </c>
      <c r="E4" t="str">
        <v>2 - Important</v>
      </c>
      <c r="F4" t="str">
        <v>Keep</v>
      </c>
      <c r="G4" t="str">
        <v/>
      </c>
      <c r="H4" t="str">
        <v/>
      </c>
      <c r="I4" t="str">
        <v>v1</v>
      </c>
      <c r="J4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4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Subscription</v>
      </c>
      <c r="B2" t="str">
        <v>1.0</v>
      </c>
      <c r="C2" t="str">
        <v>Zeffo</v>
      </c>
      <c r="D2" t="str">
        <v>Subscribing from the website</v>
      </c>
      <c r="E2" t="str">
        <v>1 - Critical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  <row r="3">
      <c r="A3" t="str">
        <v>Subscription</v>
      </c>
      <c r="B3" t="str">
        <v>1.0</v>
      </c>
      <c r="C3" t="str">
        <v>Bracca</v>
      </c>
      <c r="D3" t="str">
        <v>Subscribing through the network</v>
      </c>
      <c r="E3" t="str">
        <v>1 - Critical</v>
      </c>
      <c r="F3" t="str">
        <v>Keep</v>
      </c>
      <c r="G3" t="str">
        <v/>
      </c>
      <c r="H3" t="str">
        <v/>
      </c>
      <c r="I3" t="str">
        <v>v1</v>
      </c>
      <c r="J3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3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Policy events</v>
      </c>
      <c r="B2" t="str">
        <v>1.0</v>
      </c>
      <c r="C2" t="str">
        <v>Malastare</v>
      </c>
      <c r="D2" t="str">
        <v>Broadcast to internal applications</v>
      </c>
      <c r="E2" t="str">
        <v>1 - Critical</v>
      </c>
      <c r="F2" t="str">
        <v>Keep</v>
      </c>
      <c r="G2" t="str">
        <v/>
      </c>
      <c r="H2" t="str">
        <v>Policy stream 1.0</v>
      </c>
      <c r="I2" t="str">
        <v>v1</v>
      </c>
      <c r="J2" t="str">
        <v/>
      </c>
    </row>
    <row r="3">
      <c r="A3" t="str">
        <v>Policy events</v>
      </c>
      <c r="B3" t="str">
        <v>1.0</v>
      </c>
      <c r="C3" t="str">
        <v>Onderon</v>
      </c>
      <c r="D3" t="str">
        <v>Archiving amendments</v>
      </c>
      <c r="E3" t="str">
        <v>3 - Standard</v>
      </c>
      <c r="F3" t="str">
        <v>Keep</v>
      </c>
      <c r="G3" t="str">
        <v/>
      </c>
      <c r="H3" t="str">
        <v/>
      </c>
      <c r="I3" t="str">
        <v>v1</v>
      </c>
      <c r="J3" t="str">
        <v/>
      </c>
    </row>
    <row r="4">
      <c r="A4" t="str">
        <v>Policy notice</v>
      </c>
      <c r="B4" t="str">
        <v>1.0</v>
      </c>
      <c r="C4" t="str">
        <v>Kafka</v>
      </c>
      <c r="D4" t="str">
        <v>Publishing on the broker</v>
      </c>
      <c r="E4" t="str">
        <v>2 - Important</v>
      </c>
      <c r="F4" t="str">
        <v>Keep</v>
      </c>
      <c r="G4" t="str">
        <v/>
      </c>
      <c r="H4" t="str">
        <v>notice.stream 1.0</v>
      </c>
      <c r="I4" t="str">
        <v>v1</v>
      </c>
      <c r="J4" t="str">
        <v/>
      </c>
    </row>
    <row r="5">
      <c r="A5" t="str">
        <v>Policy events</v>
      </c>
      <c r="B5" t="str">
        <v>1.0</v>
      </c>
      <c r="C5" t="str">
        <v>Kafka</v>
      </c>
      <c r="D5" t="str">
        <v>Republishing for the platform</v>
      </c>
      <c r="E5" t="str">
        <v>2 - Important</v>
      </c>
      <c r="F5" t="str">
        <v>Keep</v>
      </c>
      <c r="G5" t="str">
        <v/>
      </c>
      <c r="H5" t="str">
        <v>events.core 1.0</v>
      </c>
      <c r="I5" t="str">
        <v>v1</v>
      </c>
      <c r="J5" t="str">
        <v/>
      </c>
    </row>
    <row r="6">
      <c r="A6" t="str">
        <v>Policy events</v>
      </c>
      <c r="B6" t="str">
        <v>1.0</v>
      </c>
      <c r="C6" t="str">
        <v>Rodia</v>
      </c>
      <c r="D6" t="str">
        <v>Refreshing the portal</v>
      </c>
      <c r="E6" t="str">
        <v>2 - Important</v>
      </c>
      <c r="F6" t="str">
        <v>Keep</v>
      </c>
      <c r="G6" t="str">
        <v/>
      </c>
      <c r="H6" t="str">
        <v/>
      </c>
      <c r="I6" t="str">
        <v>v1</v>
      </c>
      <c r="J6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6"/>
  </ignoredError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Care statement</v>
      </c>
      <c r="B2" t="str">
        <v>1.0</v>
      </c>
      <c r="C2" t="str">
        <v>Chandrila</v>
      </c>
      <c r="D2" t="str">
        <v>Reimbursing members</v>
      </c>
      <c r="E2" t="str">
        <v>1 - Critical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Raw statement</v>
      </c>
      <c r="B2" t="str">
        <v>1.0</v>
      </c>
      <c r="C2" t="str">
        <v>Malastare</v>
      </c>
      <c r="D2" t="str">
        <v>Picking up the partner drop</v>
      </c>
      <c r="E2" t="str">
        <v>2 - Important</v>
      </c>
      <c r="F2" t="str">
        <v>Keep</v>
      </c>
      <c r="G2" t="str">
        <v/>
      </c>
      <c r="H2" t="str">
        <v>Care statement 1.0</v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Policy stream</v>
      </c>
      <c r="B2" t="str">
        <v>1.0</v>
      </c>
      <c r="C2" t="str">
        <v>Ilum</v>
      </c>
      <c r="D2" t="str">
        <v>Following the policies it handles</v>
      </c>
      <c r="E2" t="str">
        <v>2 - Important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Supporting documents</v>
      </c>
      <c r="B2" t="str">
        <v>1.0</v>
      </c>
      <c r="C2" t="str">
        <v>Chandrila</v>
      </c>
      <c r="D2" t="str">
        <v>Dropping subscription documents</v>
      </c>
      <c r="E2" t="str">
        <v>2 - Important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  <row r="3">
      <c r="A3" t="str">
        <v>Supporting documents</v>
      </c>
      <c r="B3" t="str">
        <v>1.0</v>
      </c>
      <c r="C3" t="str">
        <v>Rodia</v>
      </c>
      <c r="D3" t="str">
        <v>Dropping documents filed online</v>
      </c>
      <c r="E3" t="str">
        <v>2 - Important</v>
      </c>
      <c r="F3" t="str">
        <v>Keep</v>
      </c>
      <c r="G3" t="str">
        <v/>
      </c>
      <c r="H3" t="str">
        <v/>
      </c>
      <c r="I3" t="str">
        <v>v1</v>
      </c>
      <c r="J3" t="str">
        <v/>
      </c>
    </row>
    <row r="4">
      <c r="A4" t="str">
        <v>Supporting documents</v>
      </c>
      <c r="B4" t="str">
        <v>1.0</v>
      </c>
      <c r="C4" t="str">
        <v>Crait</v>
      </c>
      <c r="D4" t="str">
        <v>Manual drop, replaced by the portal</v>
      </c>
      <c r="E4" t="str">
        <v>3 - Standard</v>
      </c>
      <c r="F4" t="str">
        <v>Transform</v>
      </c>
      <c r="G4" t="str">
        <v/>
      </c>
      <c r="H4" t="str">
        <v/>
      </c>
      <c r="I4" t="str">
        <v>v1</v>
      </c>
      <c r="J4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4"/>
  </ignoredErrors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Daily statements</v>
      </c>
      <c r="B2" t="str">
        <v>1.0</v>
      </c>
      <c r="C2" t="str">
        <v>Kamino</v>
      </c>
      <c r="D2" t="str">
        <v>Long-term archiving</v>
      </c>
      <c r="E2" t="str">
        <v>3 - Standard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Member mail</v>
      </c>
      <c r="B2" t="str">
        <v>1.0</v>
      </c>
      <c r="C2" t="str">
        <v>Crait</v>
      </c>
      <c r="D2" t="str">
        <v>Copy of the mail sent</v>
      </c>
      <c r="E2" t="str">
        <v>3 - Standard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Regulatory return</v>
      </c>
      <c r="B2" t="str">
        <v>1.0</v>
      </c>
      <c r="C2" t="str">
        <v>Serenno</v>
      </c>
      <c r="D2" t="str">
        <v>Quarterly regulatory filing</v>
      </c>
      <c r="E2" t="str">
        <v>1 - Critical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notice.stream</v>
      </c>
      <c r="B2" t="str">
        <v>1.0</v>
      </c>
      <c r="C2" t="str">
        <v>Dagobah</v>
      </c>
      <c r="D2" t="str">
        <v>Routing to the contract gateway</v>
      </c>
      <c r="E2" t="str">
        <v>2 - Important</v>
      </c>
      <c r="F2" t="str">
        <v>Keep</v>
      </c>
      <c r="G2" t="str">
        <v/>
      </c>
      <c r="H2" t="str">
        <v>notice.norm 1.0</v>
      </c>
      <c r="I2" t="str">
        <v>v1</v>
      </c>
      <c r="J2" t="str">
        <v/>
      </c>
    </row>
    <row r="3">
      <c r="A3" t="str">
        <v>events.core</v>
      </c>
      <c r="B3" t="str">
        <v>1.0</v>
      </c>
      <c r="C3" t="str">
        <v>Takodana</v>
      </c>
      <c r="D3" t="str">
        <v>Refreshing the member record on a policy change</v>
      </c>
      <c r="E3" t="str">
        <v>2 - Important</v>
      </c>
      <c r="F3" t="str">
        <v>Keep</v>
      </c>
      <c r="G3" t="str">
        <v/>
      </c>
      <c r="H3" t="str">
        <v/>
      </c>
      <c r="I3" t="str">
        <v>v1</v>
      </c>
      <c r="J3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3"/>
  </ignoredErrors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notice.norm</v>
      </c>
      <c r="B2" t="str">
        <v>1.0</v>
      </c>
      <c r="C2" t="str">
        <v>ESB</v>
      </c>
      <c r="D2" t="str">
        <v>Handing over to the shared bus</v>
      </c>
      <c r="E2" t="str">
        <v>2 - Important</v>
      </c>
      <c r="F2" t="str">
        <v>Keep</v>
      </c>
      <c r="G2" t="str">
        <v/>
      </c>
      <c r="H2" t="str">
        <v>notice.out 1.0</v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notice.out</v>
      </c>
      <c r="B2" t="str">
        <v>1.0</v>
      </c>
      <c r="C2" t="str">
        <v>Bracca</v>
      </c>
      <c r="D2" t="str">
        <v>Receiving policy notices</v>
      </c>
      <c r="E2" t="str">
        <v>2 - Important</v>
      </c>
      <c r="F2" t="str">
        <v>Keep</v>
      </c>
      <c r="G2" t="str">
        <v/>
      </c>
      <c r="H2" t="str">
        <v/>
      </c>
      <c r="I2" t="str">
        <v>v1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33.83203125" customWidth="1"/>
    <col min="6" max="6" width="16.83203125" customWidth="1"/>
    <col min="7" max="7" width="16.83203125" customWidth="1"/>
    <col min="8" max="8" width="18.83203125" customWidth="1"/>
    <col min="9" max="9" width="17.83203125" customWidth="1"/>
    <col min="10" max="10" width="16.83203125" customWidth="1"/>
    <col min="11" max="11" width="10.83203125" customWidth="1"/>
    <col min="12" max="12" width="10.83203125" customWidth="1" hidden="true"/>
  </cols>
  <sheetData>
    <row r="1">
      <c r="A1" t="str" s="5">
        <v>Flow name</v>
      </c>
      <c r="B1" t="str" s="5">
        <v>Version</v>
      </c>
      <c r="C1" t="str" s="5">
        <v>Consumer</v>
      </c>
      <c r="D1" t="str" s="5">
        <v>Usage</v>
      </c>
      <c r="E1" t="str" s="5">
        <v>Criticality for this consumer</v>
      </c>
      <c r="F1" t="str" s="5">
        <v>Decision</v>
      </c>
      <c r="G1" t="str" s="5">
        <v>Comments</v>
      </c>
      <c r="H1" t="str" s="5">
        <v>Republished as</v>
      </c>
      <c r="I1" t="str" s="5">
        <v>Introduced at</v>
      </c>
      <c r="J1" t="str" s="5">
        <v>Retired at</v>
      </c>
      <c r="L1" t="str">
        <f>MID(CELL("filename",$A$1),FIND("]",CELL("filename",$A$1))+1,255)</f>
        <v/>
      </c>
    </row>
    <row r="2">
      <c r="A2" t="str">
        <v>Payslips</v>
      </c>
      <c r="B2" t="str">
        <v>1.0</v>
      </c>
      <c r="C2" t="str">
        <v>Onderon</v>
      </c>
      <c r="D2" t="str">
        <v>Archiving payslips</v>
      </c>
      <c r="E2" t="str">
        <v>3 - Standard</v>
      </c>
      <c r="F2" t="str">
        <v>Keep</v>
      </c>
      <c r="G2" t="str">
        <v/>
      </c>
      <c r="H2" t="str">
        <v/>
      </c>
      <c r="I2" t="str">
        <v>v2</v>
      </c>
      <c r="J2" t="str">
        <v/>
      </c>
    </row>
  </sheetData>
  <dataValidations count="10">
    <dataValidation type="list" allowBlank="1" showInputMessage="1" showErrorMessage="1" promptTitle="Interface" prompt="An interface exposed by this sheet's provider. Declare it on the Interfaces sheet first." sqref="A2:A1000">
      <formula1>OFFSET(Lists!$N$2,MATCH($L$1,Lists!$M$2:$M$1018,0)-1,0,MAX(1,COUNTIF(Lists!$M$2:$M$1018,$L$1)),1)</formula1>
    </dataValidation>
    <dataValidation type="list" allowBlank="1" showInputMessage="1" showErrorMessage="1" promptTitle="Version" prompt="Fill in Flow name first: the versions offered are the ones declared for that interface." sqref="B2:B1000">
      <formula1>OFFSET(Lists!$K$2,MATCH($L$1&amp;"|"&amp;$A2,Lists!$J$2:$J$1018,0)-1,0,MAX(1,COUNTIF(Lists!$J$2:$J$1018,$L$1&amp;"|"&amp;$A2)),1)</formula1>
    </dataValidation>
    <dataValidation type="list" allowBlank="1" showInputMessage="1" showErrorMessage="1" promptTitle="Consumer" prompt="The actor that consumes this interface. One line per consumer: an interface consumed by four actors has four lines." sqref="C2:C1000">
      <formula1>L_Acteur</formula1>
    </dataValidation>
    <dataValidation type="list" allowBlank="1" showInputMessage="1" showErrorMessage="1" promptTitle="Criticality" prompt="How critical this flow is for THIS consumer, not in general. The same interface may be vital to one and secondary to another." sqref="E2:E1000">
      <formula1>L_Criticite</formula1>
    </dataValidation>
    <dataValidation type="list" allowBlank="1" showInputMessage="1" showErrorMessage="1" promptTitle="Decision" prompt="What has been decided for this consumption. Remove is a deprecation warning, not a retirement: retirement is the Retired at column." sqref="F2:F1000">
      <formula1>L_Decision</formula1>
    </dataValidation>
    <dataValidation type="list" allowBlank="1" showInputMessage="1" showErrorMessage="1" promptTitle="Republished as" prompt="Fill in only when the consumer is a middleware: which of ITS OWN interfaces republishes this flow. Several lines pointing at the same interface is how a bus aggregates." sqref="H2:H1000">
      <formula1>OFFSET(Lists!$Q$2,MATCH($C2,Lists!$P$2:$P$1018,0)-1,0,MAX(1,COUNTIF(Lists!$P$2:$P$1018,$C2)),1)</formula1>
    </dataValidation>
    <dataValidation type="list" allowBlank="1" showInputMessage="1" showErrorMessage="1" promptTitle="Introduced at" prompt="A milestone from the Milestones sheet, the one this line appears at. Leave empty if it has always been there." sqref="I2:I1000">
      <formula1>L_Palier</formula1>
    </dataValidation>
    <dataValidation type="list" allowBlank="1" showInputMessage="1" showErrorMessage="1" promptTitle="Retired at" prompt="The milestone this line is gone AT: it no longer exists at that milestone. Leave empty if it is still there." sqref="J2:J1000">
      <formula1>L_Palier</formula1>
    </dataValidation>
    <dataValidation type="none" allowBlank="1" showInputMessage="1" showErrorMessage="0" promptTitle="Usage" prompt="What THIS consumer does with the flow. Two consumers of the same interface rarely use it for the same thing." sqref="D2:D1000"/>
    <dataValidation type="none" allowBlank="1" showInputMessage="1" showErrorMessage="0" promptTitle="Comments" prompt="Anything worth keeping that has no column of its own. Carried through to the exports, never drawn." sqref="G2:G1000"/>
  </dataValidations>
  <ignoredErrors>
    <ignoredError numberStoredAsText="1" sqref="A1:L2"/>
  </ignoredErrors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01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Perimeter</v>
      </c>
      <c r="B1" t="str">
        <v>Direction</v>
      </c>
      <c r="C1" t="str">
        <v>Decision</v>
      </c>
      <c r="D1" t="str">
        <v>Criticality</v>
      </c>
      <c r="E1" t="str">
        <v>Confirmation</v>
      </c>
      <c r="F1" t="str">
        <v>Nature</v>
      </c>
      <c r="G1" t="str">
        <v>Icon</v>
      </c>
      <c r="H1" t="str">
        <v>Preview</v>
      </c>
      <c r="J1" t="str">
        <v>Flow version key</v>
      </c>
      <c r="K1" t="str">
        <v>Flow version</v>
      </c>
      <c r="M1" t="str">
        <v>Flow sheet</v>
      </c>
      <c r="N1" t="str">
        <v>Flow name</v>
      </c>
      <c r="P1" t="str">
        <v>Provider actor</v>
      </c>
      <c r="Q1" t="str">
        <v>Published interface</v>
      </c>
    </row>
    <row r="2">
      <c r="A2" t="str">
        <v>Platform</v>
      </c>
      <c r="B2" t="str">
        <v>provider → consumer</v>
      </c>
      <c r="C2" t="str">
        <v>Keep</v>
      </c>
      <c r="D2" t="str">
        <v>1 - Critical</v>
      </c>
      <c r="E2" t="str">
        <v>Yes</v>
      </c>
      <c r="F2" t="str">
        <v>Business</v>
      </c>
      <c r="G2" t="str">
        <v>app-window</v>
      </c>
      <c r="H2" t="str">
        <v>🪟</v>
      </c>
      <c r="J2" t="str">
        <f t="array" ref="J2:K1018">IFERROR(INDEX(_xlfn._xlws.SORT(_xlfn._xlws.FILTER(_xlfn.HSTACK(LEFT(SUBSTITUTE(SUBSTITUTE(SUBSTITUTE(SUBSTITUTE(SUBSTITUTE(SUBSTITUTE(SUBSTITUTE("FX_"&amp;Interfaces!$C$2:$C$1018&amp;"_"&amp;Interfaces!$D$2:$D$1018,":","-"),"\","-"),"/","-"),"?","-"),"*","-"),"[","-"),"]","-"),31)&amp;"|"&amp;Interfaces!$A$2:$A$1018,Interfaces!$B$2:$B$1018),Interfaces!$A$2:$A$1018&lt;&gt;""),1,1),_xlfn.SEQUENCE(1017),{1,2}),"")</f>
        <v/>
      </c>
      <c r="M2" t="str">
        <f t="array" ref="M2:N1018">IFERROR(INDEX(_xlfn._xlws.SORT(_xlfn.UNIQUE(_xlfn._xlws.FILTER(_xlfn.HSTACK(LEFT(SUBSTITUTE(SUBSTITUTE(SUBSTITUTE(SUBSTITUTE(SUBSTITUTE(SUBSTITUTE(SUBSTITUTE("FX_"&amp;Interfaces!$C$2:$C$1018&amp;"_"&amp;Interfaces!$D$2:$D$1018,":","-"),"\","-"),"/","-"),"?","-"),"*","-"),"[","-"),"]","-"),31),Interfaces!$A$2:$A$1018),Interfaces!$A$2:$A$1018&lt;&gt;"")),1,1),_xlfn.SEQUENCE(1017),{1,2}),"")</f>
        <v/>
      </c>
      <c r="P2" t="str">
        <f t="array" ref="P2:Q1018">IFERROR(INDEX(_xlfn._xlws.SORT(_xlfn.UNIQUE(_xlfn._xlws.FILTER(_xlfn.HSTACK(Interfaces!$C$2:$C$1018,Interfaces!$A$2:$A$1018&amp;IF(Interfaces!$B$2:$B$1018="",""," ")&amp;Interfaces!$B$2:$B$1018),Interfaces!$A$2:$A$1018&lt;&gt;"")),1,1),_xlfn.SEQUENCE(1017),{1,2}),"")</f>
        <v/>
      </c>
    </row>
    <row r="3">
      <c r="A3" t="str">
        <v>External</v>
      </c>
      <c r="B3" t="str">
        <v>consumer → provider</v>
      </c>
      <c r="C3" t="str">
        <v>Investigate</v>
      </c>
      <c r="D3" t="str">
        <v>2 - Important</v>
      </c>
      <c r="E3" t="str">
        <v>No</v>
      </c>
      <c r="F3" t="str">
        <v>Middleware</v>
      </c>
      <c r="G3" t="str">
        <v>bot</v>
      </c>
      <c r="H3" t="str">
        <v>🤖</v>
      </c>
    </row>
    <row r="4">
      <c r="A4" t="str">
        <v/>
      </c>
      <c r="B4" t="str">
        <v/>
      </c>
      <c r="C4" t="str">
        <v>Transform</v>
      </c>
      <c r="D4" t="str">
        <v>3 - Standard</v>
      </c>
      <c r="E4" t="str">
        <v/>
      </c>
      <c r="F4" t="str">
        <v>Storage</v>
      </c>
      <c r="G4" t="str">
        <v>box</v>
      </c>
      <c r="H4" t="str">
        <v>🧰</v>
      </c>
    </row>
    <row r="5">
      <c r="A5" t="str">
        <v/>
      </c>
      <c r="B5" t="str">
        <v/>
      </c>
      <c r="C5" t="str">
        <v>Remove</v>
      </c>
      <c r="D5" t="str">
        <v/>
      </c>
      <c r="E5" t="str">
        <v/>
      </c>
      <c r="F5" t="str">
        <v/>
      </c>
      <c r="G5" t="str">
        <v>building-2</v>
      </c>
      <c r="H5" t="str">
        <v>🏢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cloud</v>
      </c>
      <c r="H6" t="str">
        <v>☁️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cog</v>
      </c>
      <c r="H7" t="str">
        <v>⚙️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database</v>
      </c>
      <c r="H8" t="str">
        <v>🗃️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file-text</v>
      </c>
      <c r="H9" t="str">
        <v>📄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globe</v>
      </c>
      <c r="H10" t="str">
        <v>🌐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handshake</v>
      </c>
      <c r="H11" t="str">
        <v>🤝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hard-drive</v>
      </c>
      <c r="H12" t="str">
        <v>💽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key</v>
      </c>
      <c r="H13" t="str">
        <v>🔑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layers</v>
      </c>
      <c r="H14" t="str">
        <v>🗂️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mail</v>
      </c>
      <c r="H15" t="str">
        <v>✉️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monitor</v>
      </c>
      <c r="H16" t="str">
        <v>🖥️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network</v>
      </c>
      <c r="H17" t="str">
        <v>🕸️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package</v>
      </c>
      <c r="H18" t="str">
        <v>📦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printer</v>
      </c>
      <c r="H19" t="str">
        <v>🖨️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server</v>
      </c>
      <c r="H20" t="str">
        <v>🗄️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shield</v>
      </c>
      <c r="H21" t="str">
        <v>🛡️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smartphone</v>
      </c>
      <c r="H22" t="str">
        <v>📱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terminal</v>
      </c>
      <c r="H23" t="str">
        <v>⌨️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user</v>
      </c>
      <c r="H24" t="str">
        <v>👤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users</v>
      </c>
      <c r="H25" t="str">
        <v>👥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workflow</v>
      </c>
      <c r="H26" t="str">
        <v>🔀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</sheetData>
  <ignoredErrors>
    <ignoredError numberStoredAsText="1" sqref="A1:Q1018"/>
  </ignoredErrors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Name</v>
      </c>
      <c r="B1" t="str">
        <v>Group</v>
      </c>
      <c r="C1" t="str">
        <v>Actor type</v>
      </c>
      <c r="D1" t="str">
        <v>Owner</v>
      </c>
      <c r="E1" t="str">
        <v>Description</v>
      </c>
    </row>
    <row r="2">
      <c r="A2" t="str">
        <v>Chandrila</v>
      </c>
      <c r="B2" t="str">
        <v>Core</v>
      </c>
      <c r="C2" t="str">
        <v>Application</v>
      </c>
      <c r="D2" t="str">
        <v>Policy team</v>
      </c>
      <c r="E2" t="str">
        <v>Policy management</v>
      </c>
    </row>
    <row r="3">
      <c r="A3" t="str">
        <v>Sullust</v>
      </c>
      <c r="B3" t="str">
        <v>Core</v>
      </c>
      <c r="C3" t="str">
        <v>Service</v>
      </c>
      <c r="D3" t="str">
        <v>Actuarial team</v>
      </c>
      <c r="E3" t="str">
        <v>Pricing engine</v>
      </c>
    </row>
    <row r="4">
      <c r="A4" t="str">
        <v>Takodana</v>
      </c>
      <c r="B4" t="str">
        <v>Core</v>
      </c>
      <c r="C4" t="str">
        <v>Service</v>
      </c>
      <c r="D4" t="str">
        <v>Data team</v>
      </c>
      <c r="E4" t="str">
        <v>Member repository</v>
      </c>
    </row>
    <row r="5">
      <c r="A5" t="str">
        <v>Malastare</v>
      </c>
      <c r="B5" t="str">
        <v>Core</v>
      </c>
      <c r="C5" t="str">
        <v>Infrastructure</v>
      </c>
      <c r="D5" t="str">
        <v>Integration team</v>
      </c>
      <c r="E5" t="str">
        <v>Internal message bus</v>
      </c>
    </row>
    <row r="6">
      <c r="A6" t="str">
        <v>Rodia</v>
      </c>
      <c r="B6" t="str">
        <v>Core</v>
      </c>
      <c r="C6" t="str">
        <v>Application</v>
      </c>
      <c r="D6" t="str">
        <v>Digital team</v>
      </c>
      <c r="E6" t="str">
        <v>Member portal</v>
      </c>
    </row>
    <row r="7">
      <c r="A7" t="str">
        <v>Onderon</v>
      </c>
      <c r="B7" t="str">
        <v>Core</v>
      </c>
      <c r="C7" t="str">
        <v>Service</v>
      </c>
      <c r="D7" t="str">
        <v>Compliance team</v>
      </c>
      <c r="E7" t="str">
        <v>Regulatory archiving</v>
      </c>
    </row>
    <row r="8">
      <c r="A8" t="str">
        <v>Bracca</v>
      </c>
      <c r="B8" t="str">
        <v>Sales network</v>
      </c>
      <c r="C8" t="str">
        <v>Partner</v>
      </c>
      <c r="D8" t="str">
        <v>Sales division</v>
      </c>
      <c r="E8" t="str">
        <v>Wholesale broker</v>
      </c>
    </row>
    <row r="9">
      <c r="A9" t="str">
        <v>Zeffo</v>
      </c>
      <c r="B9" t="str">
        <v>Sales network</v>
      </c>
      <c r="C9" t="str">
        <v>Application</v>
      </c>
      <c r="D9" t="str">
        <v>Sales division</v>
      </c>
      <c r="E9" t="str">
        <v>Online subscription</v>
      </c>
    </row>
    <row r="10">
      <c r="A10" t="str">
        <v>Ilum</v>
      </c>
      <c r="B10" t="str">
        <v>Health partners</v>
      </c>
      <c r="C10" t="str">
        <v>Partner</v>
      </c>
      <c r="D10" t="str">
        <v>Partnerships division</v>
      </c>
      <c r="E10" t="str">
        <v>Care facility</v>
      </c>
    </row>
    <row r="11">
      <c r="A11" t="str">
        <v>Serenno</v>
      </c>
      <c r="B11" t="str">
        <v>Institutional</v>
      </c>
      <c r="C11" t="str">
        <v>Partner</v>
      </c>
      <c r="D11" t="str">
        <v>Legal division</v>
      </c>
      <c r="E11" t="str">
        <v>Sector regulator</v>
      </c>
    </row>
    <row r="12">
      <c r="A12" t="str">
        <v>Vjun</v>
      </c>
      <c r="B12" t="str">
        <v>Support</v>
      </c>
      <c r="C12" t="str">
        <v>Packaged product</v>
      </c>
      <c r="D12" t="str">
        <v>IT department</v>
      </c>
      <c r="E12" t="str">
        <v>Outsourced payroll software</v>
      </c>
    </row>
    <row r="13">
      <c r="A13" t="str">
        <v>Crait</v>
      </c>
      <c r="B13" t="str">
        <v>Support</v>
      </c>
      <c r="C13" t="str">
        <v>Person</v>
      </c>
      <c r="D13" t="str">
        <v>Member services</v>
      </c>
      <c r="E13" t="str">
        <v>Case handling</v>
      </c>
    </row>
    <row r="14">
      <c r="A14" t="str">
        <v>Kafka</v>
      </c>
      <c r="B14" t="str">
        <v>Core</v>
      </c>
      <c r="C14" t="str">
        <v>Infrastructure</v>
      </c>
      <c r="D14" t="str">
        <v>Integration team</v>
      </c>
      <c r="E14" t="str">
        <v>Event broker</v>
      </c>
    </row>
    <row r="15">
      <c r="A15" t="str">
        <v>Dagobah</v>
      </c>
      <c r="B15" t="str">
        <v>Core</v>
      </c>
      <c r="C15" t="str">
        <v>Infrastructure</v>
      </c>
      <c r="D15" t="str">
        <v>Integration team</v>
      </c>
      <c r="E15" t="str">
        <v>Contract management gateway</v>
      </c>
    </row>
    <row r="16">
      <c r="A16" t="str">
        <v>ESB</v>
      </c>
      <c r="B16" t="str">
        <v>Support</v>
      </c>
      <c r="C16" t="str">
        <v>Infrastructure</v>
      </c>
      <c r="D16" t="str">
        <v>IT department</v>
      </c>
      <c r="E16" t="str">
        <v>Shared enterprise service bus, operated outside the platform</v>
      </c>
    </row>
    <row r="17">
      <c r="A17" t="str">
        <v>Kamino</v>
      </c>
      <c r="B17" t="str">
        <v>Core</v>
      </c>
      <c r="C17" t="str">
        <v>Object storage</v>
      </c>
      <c r="D17" t="str">
        <v>Compliance team</v>
      </c>
      <c r="E17" t="str">
        <v>Regulatory document vault</v>
      </c>
    </row>
  </sheetData>
  <ignoredErrors>
    <ignoredError numberStoredAsText="1" sqref="A1:E17"/>
  </ignoredErrors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Name</v>
      </c>
      <c r="B1" t="str">
        <v>Description</v>
      </c>
    </row>
    <row r="2">
      <c r="A2" t="str">
        <v>Core</v>
      </c>
      <c r="B2" t="str">
        <v/>
      </c>
    </row>
    <row r="3">
      <c r="A3" t="str">
        <v>Sales network</v>
      </c>
      <c r="B3" t="str">
        <v/>
      </c>
    </row>
    <row r="4">
      <c r="A4" t="str">
        <v>Health partners</v>
      </c>
      <c r="B4" t="str">
        <v/>
      </c>
    </row>
    <row r="5">
      <c r="A5" t="str">
        <v>Institutional</v>
      </c>
      <c r="B5" t="str">
        <v/>
      </c>
    </row>
    <row r="6">
      <c r="A6" t="str">
        <v>Support</v>
      </c>
      <c r="B6" t="str">
        <v/>
      </c>
    </row>
  </sheetData>
  <ignoredErrors>
    <ignoredError numberStoredAsText="1" sqref="A1:B6"/>
  </ignoredErrors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Actor type</v>
      </c>
      <c r="B1" t="str">
        <v>Icon</v>
      </c>
      <c r="C1" t="str">
        <v>Nature</v>
      </c>
      <c r="D1" t="str">
        <v>Description</v>
      </c>
    </row>
    <row r="2">
      <c r="A2" t="str">
        <v>Application</v>
      </c>
      <c r="B2" t="str">
        <v>app-window</v>
      </c>
      <c r="C2" t="str">
        <v>Business</v>
      </c>
      <c r="D2" t="str">
        <v/>
      </c>
    </row>
    <row r="3">
      <c r="A3" t="str">
        <v>Service</v>
      </c>
      <c r="B3" t="str">
        <v>cog</v>
      </c>
      <c r="C3" t="str">
        <v>Business</v>
      </c>
      <c r="D3" t="str">
        <v/>
      </c>
    </row>
    <row r="4">
      <c r="A4" t="str">
        <v>Packaged product</v>
      </c>
      <c r="B4" t="str">
        <v>package</v>
      </c>
      <c r="C4" t="str">
        <v>Business</v>
      </c>
      <c r="D4" t="str">
        <v/>
      </c>
    </row>
    <row r="5">
      <c r="A5" t="str">
        <v>Partner</v>
      </c>
      <c r="B5" t="str">
        <v>handshake</v>
      </c>
      <c r="C5" t="str">
        <v>Business</v>
      </c>
      <c r="D5" t="str">
        <v/>
      </c>
    </row>
    <row r="6">
      <c r="A6" t="str">
        <v>Person</v>
      </c>
      <c r="B6" t="str">
        <v>user</v>
      </c>
      <c r="C6" t="str">
        <v>Business</v>
      </c>
      <c r="D6" t="str">
        <v/>
      </c>
    </row>
    <row r="7">
      <c r="A7" t="str">
        <v>Infrastructure</v>
      </c>
      <c r="B7" t="str">
        <v>server</v>
      </c>
      <c r="C7" t="str">
        <v>Middleware</v>
      </c>
      <c r="D7" t="str">
        <v/>
      </c>
    </row>
    <row r="8">
      <c r="A8" t="str">
        <v>Object storage</v>
      </c>
      <c r="B8" t="str">
        <v>database</v>
      </c>
      <c r="C8" t="str">
        <v>Storage</v>
      </c>
      <c r="D8" t="str">
        <v/>
      </c>
    </row>
  </sheetData>
  <ignoredErrors>
    <ignoredError numberStoredAsText="1" sqref="A1:D8"/>
  </ignoredErrors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Flow type</v>
      </c>
      <c r="B1" t="str">
        <v>Direction</v>
      </c>
      <c r="C1" t="str">
        <v>Description</v>
      </c>
      <c r="D1" t="str">
        <v>Colour</v>
      </c>
    </row>
    <row r="2">
      <c r="A2" t="str">
        <v>HTTP</v>
      </c>
      <c r="B2" t="str">
        <v>consumer → provider</v>
      </c>
      <c r="C2" t="str">
        <v>Direct HTTP call, REST or SOAP</v>
      </c>
      <c r="D2" t="str">
        <v/>
      </c>
    </row>
    <row r="3">
      <c r="A3" t="str">
        <v>gRPC</v>
      </c>
      <c r="B3" t="str">
        <v>consumer → provider</v>
      </c>
      <c r="C3" t="str">
        <v>Remote procedure call</v>
      </c>
      <c r="D3" t="str">
        <v/>
      </c>
    </row>
    <row r="4">
      <c r="A4" t="str">
        <v>SQL</v>
      </c>
      <c r="B4" t="str">
        <v>consumer → provider</v>
      </c>
      <c r="C4" t="str">
        <v>Direct database access</v>
      </c>
      <c r="D4" t="str">
        <v/>
      </c>
    </row>
    <row r="5">
      <c r="A5" t="str">
        <v>Kafka</v>
      </c>
      <c r="B5" t="str">
        <v>provider → consumer</v>
      </c>
      <c r="C5" t="str">
        <v>Event publication — drawn as a push from the producer</v>
      </c>
      <c r="D5" t="str">
        <v/>
      </c>
    </row>
    <row r="6">
      <c r="A6" t="str">
        <v>JMS</v>
      </c>
      <c r="B6" t="str">
        <v>provider → consumer</v>
      </c>
      <c r="C6" t="str">
        <v>Message queue — drawn as a push from the sender</v>
      </c>
      <c r="D6" t="str">
        <v/>
      </c>
    </row>
    <row r="7">
      <c r="A7" t="str">
        <v>File</v>
      </c>
      <c r="B7" t="str">
        <v>provider → consumer</v>
      </c>
      <c r="C7" t="str">
        <v>File exchange</v>
      </c>
      <c r="D7" t="str">
        <v/>
      </c>
    </row>
    <row r="8">
      <c r="A8" t="str">
        <v>SFTP</v>
      </c>
      <c r="B8" t="str">
        <v>provider → consumer</v>
      </c>
      <c r="C8" t="str">
        <v>File transfer over SSH</v>
      </c>
      <c r="D8" t="str">
        <v/>
      </c>
    </row>
    <row r="9">
      <c r="A9" t="str">
        <v>Object storage (S3)</v>
      </c>
      <c r="B9" t="str">
        <v>consumer → provider</v>
      </c>
      <c r="C9" t="str">
        <v>Read from or write to a bucket</v>
      </c>
      <c r="D9" t="str">
        <v/>
      </c>
    </row>
    <row r="10">
      <c r="A10" t="str">
        <v>LDAP</v>
      </c>
      <c r="B10" t="str">
        <v>consumer → provider</v>
      </c>
      <c r="C10" t="str">
        <v>Directory lookup</v>
      </c>
      <c r="D10" t="str">
        <v/>
      </c>
    </row>
    <row r="11">
      <c r="A11" t="str">
        <v>SMTP</v>
      </c>
      <c r="B11" t="str">
        <v>provider → consumer</v>
      </c>
      <c r="C11" t="str">
        <v>Sending email</v>
      </c>
      <c r="D11" t="str">
        <v/>
      </c>
    </row>
    <row r="12">
      <c r="A12" t="str">
        <v>Syslog</v>
      </c>
      <c r="B12" t="str">
        <v>provider → consumer</v>
      </c>
      <c r="C12" t="str">
        <v>Log shipping to a collector</v>
      </c>
      <c r="D12" t="str">
        <v/>
      </c>
    </row>
    <row r="13">
      <c r="A13" t="str">
        <v>NTP</v>
      </c>
      <c r="B13" t="str">
        <v>consumer → provider</v>
      </c>
      <c r="C13" t="str">
        <v>Time synchronisation</v>
      </c>
      <c r="D13" t="str">
        <v/>
      </c>
    </row>
    <row r="14">
      <c r="A14" t="str">
        <v>Screen entry</v>
      </c>
      <c r="B14" t="str">
        <v>consumer → provider</v>
      </c>
      <c r="C14" t="str">
        <v>Human entry on a screen the provider exposes</v>
      </c>
      <c r="D14" t="str">
        <v/>
      </c>
    </row>
    <row r="15">
      <c r="A15" t="str">
        <v>Screen lookup</v>
      </c>
      <c r="B15" t="str">
        <v>provider → consumer</v>
      </c>
      <c r="C15" t="str">
        <v>Human reading on a screen the provider exposes</v>
      </c>
      <c r="D15" t="str">
        <v/>
      </c>
    </row>
    <row r="16">
      <c r="A16" t="str">
        <v>Manual</v>
      </c>
      <c r="B16" t="str">
        <v>provider → consumer</v>
      </c>
      <c r="C16" t="str">
        <v>Human hand-off, outside any system</v>
      </c>
      <c r="D16" t="str">
        <v/>
      </c>
    </row>
    <row r="17">
      <c r="A17" t="str">
        <v>Proprietary</v>
      </c>
      <c r="B17" t="str">
        <v>consumer → provider</v>
      </c>
      <c r="C17" t="str">
        <v>Protocol specific to a packaged product</v>
      </c>
      <c r="D17" t="str">
        <v/>
      </c>
    </row>
  </sheetData>
  <ignoredErrors>
    <ignoredError numberStoredAsText="1" sqref="A1:D17"/>
  </ignoredErrors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0.83203125" customWidth="1"/>
  </cols>
  <sheetData>
    <row r="1">
      <c r="A1" t="str">
        <v>Model version</v>
      </c>
    </row>
    <row r="2">
      <c r="A2">
        <v>9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Instructions</vt:lpstr>
      <vt:lpstr>Actors</vt:lpstr>
      <vt:lpstr>Groups</vt:lpstr>
      <vt:lpstr>Milestones</vt:lpstr>
      <vt:lpstr>ActorTypes</vt:lpstr>
      <vt:lpstr>FlowTypes</vt:lpstr>
      <vt:lpstr>Interfaces</vt:lpstr>
      <vt:lpstr>FX_Takodana_HTTP</vt:lpstr>
      <vt:lpstr>FX_Sullust_HTTP</vt:lpstr>
      <vt:lpstr>FX_Chandrila_HTTP</vt:lpstr>
      <vt:lpstr>FX_Chandrila_Kafka</vt:lpstr>
      <vt:lpstr>FX_Malastare_File</vt:lpstr>
      <vt:lpstr>FX_Ilum_File</vt:lpstr>
      <vt:lpstr>FX_Malastare_Kafka</vt:lpstr>
      <vt:lpstr>FX_Onderon_SFTP</vt:lpstr>
      <vt:lpstr>FX_Chandrila_File</vt:lpstr>
      <vt:lpstr>FX_Rodia_SMTP</vt:lpstr>
      <vt:lpstr>FX_Onderon_File</vt:lpstr>
      <vt:lpstr>FX_Kafka_Kafka</vt:lpstr>
      <vt:lpstr>FX_Dagobah_HTTP</vt:lpstr>
      <vt:lpstr>FX_ESB_SFTP</vt:lpstr>
      <vt:lpstr>FX_Vjun_SFTP</vt:lpstr>
      <vt:lpstr>Lists</vt:lpstr>
      <vt:lpstr>RefActors</vt:lpstr>
      <vt:lpstr>RefGroups</vt:lpstr>
      <vt:lpstr>RefActorTypes</vt:lpstr>
      <vt:lpstr>RefTechnologies</vt:lpstr>
      <vt:lpstr>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2026-09-08T09:47:14Z</dcterms:created>
  <dcterms:modified xsi:type="dcterms:W3CDTF">2026-09-08T09:47:14Z</dcterms:modified>
  <dc:title>Interface map</dc:title>
</cp:coreProperties>
</file>